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comments7.xml" ContentType="application/vnd.openxmlformats-officedocument.spreadsheetml.comments+xml"/>
  <Override PartName="/xl/theme/theme1.xml" ContentType="application/vnd.openxmlformats-officedocument.theme+xml"/>
  <Override PartName="/xl/worksheets/sheet11.xml" ContentType="application/vnd.openxmlformats-officedocument.spreadsheetml.worksheet+xml"/>
  <Override PartName="/xl/worksheets/sheet6.xml" ContentType="application/vnd.openxmlformats-officedocument.spreadsheetml.worksheet+xml"/>
  <Override PartName="/xl/worksheets/sheet5.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10.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15.xml" ContentType="application/vnd.openxmlformats-officedocument.spreadsheetml.worksheet+xml"/>
  <Override PartName="/xl/worksheets/sheet8.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xl/styles.xml" ContentType="application/vnd.openxmlformats-officedocument.spreadsheetml.styles+xml"/>
  <Override PartName="/xl/comments4.xml" ContentType="application/vnd.openxmlformats-officedocument.spreadsheetml.comments+xml"/>
  <Override PartName="/xl/comments5.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xl/drawings/drawing1.xml" ContentType="application/vnd.openxmlformats-officedocument.drawing+xml"/>
  <Override PartName="/xl/drawings/drawing2.xml" ContentType="application/vnd.openxmlformats-officedocument.drawing+xml"/>
  <Override PartName="/xl/drawings/vmlDrawing4.vml" ContentType="application/vnd.openxmlformats-officedocument.vmlDrawing"/>
  <Override PartName="/xl/drawings/drawing3.xml" ContentType="application/vnd.openxmlformats-officedocument.drawing+xml"/>
  <Override PartName="/xl/drawings/drawing4.xml" ContentType="application/vnd.openxmlformats-officedocument.drawing+xml"/>
  <Override PartName="/xl/drawings/vmlDrawing3.vml" ContentType="application/vnd.openxmlformats-officedocument.vmlDrawing"/>
  <Override PartName="/xl/drawings/drawing5.xml" ContentType="application/vnd.openxmlformats-officedocument.drawing+xml"/>
  <Override PartName="/xl/comments6.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tart Here" sheetId="1" state="visible" r:id="rId3"/>
    <sheet name="Process by Level" sheetId="2" state="visible" r:id="rId4"/>
    <sheet name="Competency Framework" sheetId="3" state="visible" r:id="rId5"/>
    <sheet name="Scorecard-Intern" sheetId="4" state="visible" r:id="rId6"/>
    <sheet name="Scorecard-Associate" sheetId="5" state="visible" r:id="rId7"/>
    <sheet name="Scorecard-Manager" sheetId="6" state="visible" r:id="rId8"/>
    <sheet name="Scorecard-Sr Manager" sheetId="7" state="visible" r:id="rId9"/>
    <sheet name="Q-Google Ads" sheetId="8" state="visible" r:id="rId10"/>
    <sheet name="Q-Meta Ads" sheetId="9" state="visible" r:id="rId11"/>
    <sheet name="Q-Metrics &amp; Analytics" sheetId="10" state="visible" r:id="rId12"/>
    <sheet name="Q-Situational" sheetId="11" state="visible" r:id="rId13"/>
    <sheet name="Q-Ownership &amp; Attitude" sheetId="12" state="visible" r:id="rId14"/>
    <sheet name="Case Studies" sheetId="13" state="visible" r:id="rId15"/>
    <sheet name="Green &amp; Red Flags" sheetId="14" state="visible" r:id="rId16"/>
    <sheet name="Debrief &amp; Decision" sheetId="15" state="visible" r:id="rId17"/>
  </sheets>
  <definedNames>
    <definedName function="false" hidden="false" localSheetId="12" name="_xlnm.Print_Titles" vbProcedure="false">'Case Studies'!$1:$3</definedName>
    <definedName function="false" hidden="false" localSheetId="2" name="_xlnm.Print_Titles" vbProcedure="false">'Competency Framework'!$1:$3</definedName>
    <definedName function="false" hidden="false" localSheetId="14" name="_xlnm.Print_Titles" vbProcedure="false">'Debrief &amp; Decision'!$1:$3</definedName>
    <definedName function="false" hidden="false" localSheetId="13" name="_xlnm.Print_Titles" vbProcedure="false">'Green &amp; Red Flags'!$1:$3</definedName>
    <definedName function="false" hidden="false" localSheetId="1" name="_xlnm.Print_Titles" vbProcedure="false">'Process by Level'!$1:$3</definedName>
    <definedName function="false" hidden="false" localSheetId="7" name="_xlnm.Print_Titles" vbProcedure="false">'Q-Google Ads'!$1:$3</definedName>
    <definedName function="false" hidden="true" localSheetId="7" name="_xlnm._FilterDatabase" vbProcedure="false">'Q-Google Ads'!$A$3:$G$33</definedName>
    <definedName function="false" hidden="false" localSheetId="8" name="_xlnm.Print_Titles" vbProcedure="false">'Q-Meta Ads'!$1:$3</definedName>
    <definedName function="false" hidden="true" localSheetId="8" name="_xlnm._FilterDatabase" vbProcedure="false">'Q-Meta Ads'!$A$3:$G$23</definedName>
    <definedName function="false" hidden="false" localSheetId="9" name="_xlnm.Print_Titles" vbProcedure="false">'Q-Metrics &amp; Analytics'!$1:$3</definedName>
    <definedName function="false" hidden="true" localSheetId="9" name="_xlnm._FilterDatabase" vbProcedure="false">'Q-Metrics &amp; Analytics'!$A$3:$G$25</definedName>
    <definedName function="false" hidden="false" localSheetId="11" name="_xlnm.Print_Titles" vbProcedure="false">'Q-Ownership &amp; Attitude'!$1:$3</definedName>
    <definedName function="false" hidden="true" localSheetId="11" name="_xlnm._FilterDatabase" vbProcedure="false">'Q-Ownership &amp; Attitude'!$A$3:$F$32</definedName>
    <definedName function="false" hidden="false" localSheetId="10" name="_xlnm.Print_Titles" vbProcedure="false">'Q-Situational'!$1:$3</definedName>
    <definedName function="false" hidden="true" localSheetId="10" name="_xlnm._FilterDatabase" vbProcedure="false">'Q-Situational'!$A$3:$G$25</definedName>
    <definedName function="false" hidden="false" localSheetId="4" name="_xlnm.Print_Titles" vbProcedure="false">'Scorecard-Associate'!$1:$2</definedName>
    <definedName function="false" hidden="false" localSheetId="3" name="_xlnm.Print_Titles" vbProcedure="false">'Scorecard-Intern'!$1:$2</definedName>
    <definedName function="false" hidden="false" localSheetId="5" name="_xlnm.Print_Titles" vbProcedure="false">'Scorecard-Manager'!$1:$2</definedName>
    <definedName function="false" hidden="false" localSheetId="6" name="_xlnm.Print_Titles" vbProcedure="false">'Scorecard-Sr Manager'!$1:$2</definedName>
    <definedName function="false" hidden="false" localSheetId="0" name="_xlnm.Print_Titles" vbProcedure="false">'Start Here'!$1:$2</definedName>
  </definedNames>
  <calcPr iterateCount="100" refMode="A1" iterate="false" iterateDelta="0.0001"/>
  <extLst>
    <ext xmlns:loext="http://schemas.libreoffice.org/" uri="{7626C862-2A13-11E5-B345-FEFF819CDC9F}">
      <loext:extCalcPr stringRefSyntax="ExcelA1"/>
    </ext>
  </extLst>
</workbook>
</file>

<file path=xl/comments4.xml><?xml version="1.0" encoding="utf-8"?>
<comments xmlns="http://schemas.openxmlformats.org/spreadsheetml/2006/main" xmlns:xdr="http://schemas.openxmlformats.org/drawingml/2006/spreadsheetDrawing">
  <authors>
    <author>Hiring Kit</author>
  </authors>
  <commentList>
    <comment ref="D11" authorId="0">
      <text>
        <r>
          <rPr>
            <sz val="10"/>
            <rFont val="Arial"/>
            <family val="2"/>
          </rPr>
          <t xml:space="preserve">Enter 1-4 only.
1 = Below bar  2 = Developing  3 = At bar  4 = Above bar
Example: 3
Evidence example: 'Diagnosed the CPL rise as a CVR problem using CPA = CPC/CVR, unprompted.'</t>
        </r>
      </text>
    </comment>
  </commentList>
</comments>
</file>

<file path=xl/comments5.xml><?xml version="1.0" encoding="utf-8"?>
<comments xmlns="http://schemas.openxmlformats.org/spreadsheetml/2006/main" xmlns:xdr="http://schemas.openxmlformats.org/drawingml/2006/spreadsheetDrawing">
  <authors>
    <author>Hiring Kit</author>
  </authors>
  <commentList>
    <comment ref="D11" authorId="0">
      <text>
        <r>
          <rPr>
            <sz val="10"/>
            <rFont val="Arial"/>
            <family val="2"/>
          </rPr>
          <t xml:space="preserve">Enter 1-4 only.
1 = Below bar  2 = Developing  3 = At bar  4 = Above bar
Example: 3
Evidence example: 'Diagnosed the CPL rise as a CVR problem using CPA = CPC/CVR, unprompted.'</t>
        </r>
      </text>
    </comment>
  </commentList>
</comments>
</file>

<file path=xl/comments6.xml><?xml version="1.0" encoding="utf-8"?>
<comments xmlns="http://schemas.openxmlformats.org/spreadsheetml/2006/main" xmlns:xdr="http://schemas.openxmlformats.org/drawingml/2006/spreadsheetDrawing">
  <authors>
    <author>Hiring Kit</author>
  </authors>
  <commentList>
    <comment ref="D11" authorId="0">
      <text>
        <r>
          <rPr>
            <sz val="10"/>
            <rFont val="Arial"/>
            <family val="2"/>
          </rPr>
          <t xml:space="preserve">Enter 1-4 only.
1 = Below bar  2 = Developing  3 = At bar  4 = Above bar
Example: 3
Evidence example: 'Diagnosed the CPL rise as a CVR problem using CPA = CPC/CVR, unprompted.'</t>
        </r>
      </text>
    </comment>
  </commentList>
</comments>
</file>

<file path=xl/comments7.xml><?xml version="1.0" encoding="utf-8"?>
<comments xmlns="http://schemas.openxmlformats.org/spreadsheetml/2006/main" xmlns:xdr="http://schemas.openxmlformats.org/drawingml/2006/spreadsheetDrawing">
  <authors>
    <author>Hiring Kit</author>
  </authors>
  <commentList>
    <comment ref="D11" authorId="0">
      <text>
        <r>
          <rPr>
            <sz val="10"/>
            <rFont val="Arial"/>
            <family val="2"/>
          </rPr>
          <t xml:space="preserve">Enter 1-4 only.
1 = Below bar  2 = Developing  3 = At bar  4 = Above bar
Example: 3
Evidence example: 'Diagnosed the CPL rise as a CVR problem using CPA = CPC/CVR, unprompted.'</t>
        </r>
      </text>
    </comment>
  </commentList>
</comments>
</file>

<file path=xl/sharedStrings.xml><?xml version="1.0" encoding="utf-8"?>
<sst xmlns="http://schemas.openxmlformats.org/spreadsheetml/2006/main" count="1459" uniqueCount="1044">
  <si>
    <t xml:space="preserve">PERFORMANCE MARKETING HIRING KIT</t>
  </si>
  <si>
    <t xml:space="preserve">Google Ads + Meta Ads  |  Lead Generation &amp; Ecommerce  |  Intern / Associate / Manager / Sr. Manager</t>
  </si>
  <si>
    <t xml:space="preserve">WHY THIS EXISTS</t>
  </si>
  <si>
    <t xml:space="preserve">To hire people who take ownership of their accounts, teach themselves the platform without being pushed, and stay curious about the technical side of marketing. Everything in this workbook is built backwards from those three outcomes. Skill can be trained in six months; ownership, self-teaching and curiosity largely cannot.</t>
  </si>
  <si>
    <t xml:space="preserve">HOW TO USE IT</t>
  </si>
  <si>
    <t xml:space="preserve">For HR</t>
  </si>
  <si>
    <t xml:space="preserve">Run the screen using the questions listed for Round 1 on the 'Process by Level' tab. Send the relevant scorecard tab to every interviewer BEFORE the interview, and collect completed scorecards BEFORE the debrief. Do not schedule a debrief until all scorecards are in.</t>
  </si>
  <si>
    <t xml:space="preserve">For interviewers</t>
  </si>
  <si>
    <t xml:space="preserve">Pick your questions from the Q- tabs based on the level column. You are not expected to ask all of them - 8 to 12 well-probed questions beat 25 shallow ones. Each question has a 'strong answer' column so different interviewers score consistently, and a 'red flag' column so you know what a bad answer actually sounds like.</t>
  </si>
  <si>
    <t xml:space="preserve">For the hiring manager</t>
  </si>
  <si>
    <t xml:space="preserve">Own the case study round and the level decision. Use the Debrief &amp; Decision tab to run the wash-up.</t>
  </si>
  <si>
    <t xml:space="preserve">THE SCORING MODEL</t>
  </si>
  <si>
    <t xml:space="preserve">10 competencies</t>
  </si>
  <si>
    <t xml:space="preserve">The same 10 competencies apply at every level. Only the WEIGHTS change - which is how a role level is actually defined. An Intern is 20% learning agility and 8% Google Ads craft; a Sr. Manager is 18% commercial acumen and 11% people leadership.</t>
  </si>
  <si>
    <t xml:space="preserve">Rating scale</t>
  </si>
  <si>
    <t xml:space="preserve">1 = Below bar  |  2 = Developing, partial evidence  |  3 = At bar for this level  |  4 = Above bar. A deliberate 4-point scale, because a 5-point scale collects 3s. Rate on EVIDENCE, not impression - if you cannot quote something the candidate said, you cannot give the rating.</t>
  </si>
  <si>
    <t xml:space="preserve">Must-pass gate</t>
  </si>
  <si>
    <t xml:space="preserve">Some competencies are marked 'Yes' in the Must-pass column. A rating of 1 on any of them is an automatic no-hire regardless of the total score. This is what stops a likeable candidate passing on charm.</t>
  </si>
  <si>
    <t xml:space="preserve">Decision bands</t>
  </si>
  <si>
    <t xml:space="preserve">90%+ = Strong hire  |  75-89% = Hire  |  60-74% = Borderline: second opinion, or offer one level down  |  Below 60% = No hire.</t>
  </si>
  <si>
    <t xml:space="preserve">WHAT TO FILL IN</t>
  </si>
  <si>
    <t xml:space="preserve">Yellow cells only</t>
  </si>
  <si>
    <t xml:space="preserve">In each scorecard, only the yellow cells are inputs: candidate details, the Rating column, and the Evidence column. Everything else is calculated. Do not overwrite the weights without the hiring manager's agreement.</t>
  </si>
  <si>
    <t xml:space="preserve">A NOTE ON CURRENCY</t>
  </si>
  <si>
    <t xml:space="preserve">Adjust to your market</t>
  </si>
  <si>
    <t xml:space="preserve">Figures in the questions and cases are unlabelled and sized for the Indian market (read as INR). Rescale them to your market before use - the reasoning being tested is currency-independent.</t>
  </si>
  <si>
    <t xml:space="preserve">TABS IN THIS WORKBOOK</t>
  </si>
  <si>
    <t xml:space="preserve">Process by Level</t>
  </si>
  <si>
    <t xml:space="preserve">Recommended rounds, owners, durations and pass bar for each of the four levels.</t>
  </si>
  <si>
    <t xml:space="preserve">Competency Framework</t>
  </si>
  <si>
    <t xml:space="preserve">What each of the 10 competencies actually looks like at each level. Use this to calibrate ratings and to settle debrief disagreements.</t>
  </si>
  <si>
    <t xml:space="preserve">Scorecard tabs (x4)</t>
  </si>
  <si>
    <t xml:space="preserve">One per level. Print or duplicate one copy per interviewer per candidate.</t>
  </si>
  <si>
    <t xml:space="preserve">Q- tabs (x5)</t>
  </si>
  <si>
    <t xml:space="preserve">Question banks: Google Ads (30), Meta Ads (20), Metrics &amp; Analytics (22), Situational (22), Ownership &amp; Attitude (29). Each has a level and track filter, a strong-answer key and a red-flag answer.</t>
  </si>
  <si>
    <t xml:space="preserve">Case Studies</t>
  </si>
  <si>
    <t xml:space="preserve">One practical case per level and track, with what to hand over and how to evaluate it.</t>
  </si>
  <si>
    <t xml:space="preserve">Green &amp; Red Flags</t>
  </si>
  <si>
    <t xml:space="preserve">Cross-cutting signals to watch for in any round.</t>
  </si>
  <si>
    <t xml:space="preserve">Debrief &amp; Decision</t>
  </si>
  <si>
    <t xml:space="preserve">How to run the wash-up so the loudest voice does not decide the hire.</t>
  </si>
  <si>
    <t xml:space="preserve">Version 1.0  |  Owner: Sagar  |  Review this kit against actual 6-month performance ratings every two quarters (see Debrief &amp; Decision, step 10).</t>
  </si>
  <si>
    <t xml:space="preserve">RECOMMENDED INTERVIEW PROCESS BY LEVEL</t>
  </si>
  <si>
    <t xml:space="preserve">Total interviewer time: Intern ~65 min  |  Associate ~2h 20m  |  Manager ~3h 30m  |  Sr. Manager ~5h</t>
  </si>
  <si>
    <t xml:space="preserve">Level</t>
  </si>
  <si>
    <t xml:space="preserve">Round</t>
  </si>
  <si>
    <t xml:space="preserve">Owner</t>
  </si>
  <si>
    <t xml:space="preserve">Duration</t>
  </si>
  <si>
    <t xml:space="preserve">Purpose</t>
  </si>
  <si>
    <t xml:space="preserve">What is assessed (question IDs)</t>
  </si>
  <si>
    <t xml:space="preserve">Pass bar for this round</t>
  </si>
  <si>
    <t xml:space="preserve">Intern</t>
  </si>
  <si>
    <t xml:space="preserve">1. HR screen</t>
  </si>
  <si>
    <t xml:space="preserve">HR</t>
  </si>
  <si>
    <t xml:space="preserve">20 min</t>
  </si>
  <si>
    <t xml:space="preserve">Confirm availability, motivation and basic communication.</t>
  </si>
  <si>
    <t xml:space="preserve">Why marketing, availability and duration, comfort with numbers, English/communication, any red flags on honesty.</t>
  </si>
  <si>
    <t xml:space="preserve">Coherent reason for wanting the role + can hold a conversation + genuinely available for the full term.</t>
  </si>
  <si>
    <t xml:space="preserve">2. Aptitude &amp; basics</t>
  </si>
  <si>
    <t xml:space="preserve">Team lead / Manager</t>
  </si>
  <si>
    <t xml:space="preserve">45 min</t>
  </si>
  <si>
    <t xml:space="preserve">Test raw thinking and curiosity, not experience.</t>
  </si>
  <si>
    <t xml:space="preserve">Live numeracy (MX-02), campaign type basics (GA-21), platform structure (MT-01), self-learning evidence (OA-01, OA-02), aptitude scenario (OA-22 or OA-23).</t>
  </si>
  <si>
    <t xml:space="preserve">Can do the maths out loud + has taught themselves something without being told + asks at least one real question.</t>
  </si>
  <si>
    <t xml:space="preserve">3. Micro-assignment (optional)</t>
  </si>
  <si>
    <t xml:space="preserve">Candidate, 60-90 min</t>
  </si>
  <si>
    <t xml:space="preserve">Async</t>
  </si>
  <si>
    <t xml:space="preserve">See how they work unsupervised.</t>
  </si>
  <si>
    <t xml:space="preserve">Intern case (see Case Studies tab). Judged on structure and reasoning, not correctness.</t>
  </si>
  <si>
    <t xml:space="preserve">Submitted on time, showed their working, flagged their own assumptions.</t>
  </si>
  <si>
    <t xml:space="preserve">Associate</t>
  </si>
  <si>
    <t xml:space="preserve">Filter on fundamentals and logistics.</t>
  </si>
  <si>
    <t xml:space="preserve">Hands-on account access (yes/no), platforms actually used, notice period, compensation range, reason for leaving.</t>
  </si>
  <si>
    <t xml:space="preserve">Has genuinely operated accounts themselves rather than only pulling reports.</t>
  </si>
  <si>
    <t xml:space="preserve">2. Technical interview</t>
  </si>
  <si>
    <t xml:space="preserve">Manager</t>
  </si>
  <si>
    <t xml:space="preserve">60 min</t>
  </si>
  <si>
    <t xml:space="preserve">Verify they can actually execute in-platform.</t>
  </si>
  <si>
    <t xml:space="preserve">Google Ads craft (GA-01 to GA-11, GA-19, GA-22, GA-25, GA-27), Meta craft (MT-01 to MT-09, MT-11, MT-12, MT-17), metrics (MX-01 to MX-04, MX-10, MX-13, MX-14, MX-17), plus 2 situational.</t>
  </si>
  <si>
    <t xml:space="preserve">Can describe a specific thing they built or fixed, with the settings, not in generalities.</t>
  </si>
  <si>
    <t xml:space="preserve">3. Take-home case + walkthrough</t>
  </si>
  <si>
    <t xml:space="preserve">2-3 hr task + 30 min call</t>
  </si>
  <si>
    <t xml:space="preserve">See their working, then probe it.</t>
  </si>
  <si>
    <t xml:space="preserve">Associate case for the relevant track. The walkthrough matters more than the deck - change one assumption and see if they can re-reason.</t>
  </si>
  <si>
    <t xml:space="preserve">Correct diagnosis + defensible prioritisation + admits what they did not know.</t>
  </si>
  <si>
    <t xml:space="preserve">4. Culture &amp; attitude</t>
  </si>
  <si>
    <t xml:space="preserve">Dept head or peer</t>
  </si>
  <si>
    <t xml:space="preserve">30 min</t>
  </si>
  <si>
    <t xml:space="preserve">Ownership, coachability, learning drive.</t>
  </si>
  <si>
    <t xml:space="preserve">OA-01, OA-04, OA-05, OA-13, OA-15, OA-16, OA-25, SI-17, SI-21.</t>
  </si>
  <si>
    <t xml:space="preserve">Owns a real mistake without deflecting + has a personal QA habit + realistic view of the role.</t>
  </si>
  <si>
    <t xml:space="preserve">Level calibration and commercials.</t>
  </si>
  <si>
    <t xml:space="preserve">Accounts and spend actually managed, team size, client-facing exposure, why leaving, compensation.</t>
  </si>
  <si>
    <t xml:space="preserve">Numbers on their CV survive one round of questioning.</t>
  </si>
  <si>
    <t xml:space="preserve">2. Technical deep dive</t>
  </si>
  <si>
    <t xml:space="preserve">Sr Manager / Head</t>
  </si>
  <si>
    <t xml:space="preserve">Depth and judgment, not recall.</t>
  </si>
  <si>
    <t xml:space="preserve">Google (GA-05, GA-06, GA-12 to GA-15, GA-18, GA-20, GA-23, GA-24, GA-26, GA-28, GA-30), Meta (MT-04 to MT-06, MT-10, MT-13 to MT-16, MT-18, MT-19), metrics (MX-05 to MX-09, MX-12, MX-16, MX-18, MX-19, MX-21).</t>
  </si>
  <si>
    <t xml:space="preserve">Reasons from mechanics and trade-offs. Says 'it depends' AND then says on what.</t>
  </si>
  <si>
    <t xml:space="preserve">3. Case + client simulation</t>
  </si>
  <si>
    <t xml:space="preserve">Head + one peer</t>
  </si>
  <si>
    <t xml:space="preserve">75 min</t>
  </si>
  <si>
    <t xml:space="preserve">Diagnosis under pressure, and how they behave in front of a client.</t>
  </si>
  <si>
    <t xml:space="preserve">Manager case for the relevant track (25 min prep, 20 min present), then a 15 min roleplay: interviewer plays an unhappy client. Then SI-03, SI-10.</t>
  </si>
  <si>
    <t xml:space="preserve">Structured diagnosis + can defend a position without becoming defensive + does not over-promise to a hostile client.</t>
  </si>
  <si>
    <t xml:space="preserve">4. Leadership &amp; culture</t>
  </si>
  <si>
    <t xml:space="preserve">Head of department</t>
  </si>
  <si>
    <t xml:space="preserve">Ownership, people, standards, commercials.</t>
  </si>
  <si>
    <t xml:space="preserve">OA-04, OA-06, OA-09, OA-13, OA-14, OA-17, OA-25, OA-27, SI-05, SI-07, SI-12.</t>
  </si>
  <si>
    <t xml:space="preserve">Takes accountability cleanly + has an actual standard + has thought about agency economics.</t>
  </si>
  <si>
    <t xml:space="preserve">Sr. Manager</t>
  </si>
  <si>
    <t xml:space="preserve">Scope calibration and commercials.</t>
  </si>
  <si>
    <t xml:space="preserve">Portfolio size, spend under management, team size and structure, P&amp;L or retention responsibility, notice, compensation.</t>
  </si>
  <si>
    <t xml:space="preserve">Scope claimed matches scope described when probed.</t>
  </si>
  <si>
    <t xml:space="preserve">2. Strategy &amp; portfolio</t>
  </si>
  <si>
    <t xml:space="preserve">Head / Founder</t>
  </si>
  <si>
    <t xml:space="preserve">Judgment across accounts, not inside one.</t>
  </si>
  <si>
    <t xml:space="preserve">MT-20, GA-29, MX-05, MX-06, MX-09, MX-15, MX-18, MX-21, GA-24, GA-28, MT-10, MT-18.</t>
  </si>
  <si>
    <t xml:space="preserve">Thinks in portfolios, marginal returns and incrementality - not campaign tactics.</t>
  </si>
  <si>
    <t xml:space="preserve">3. Business case / pitch</t>
  </si>
  <si>
    <t xml:space="preserve">Head + Founder</t>
  </si>
  <si>
    <t xml:space="preserve">90 min (24 hr prep)</t>
  </si>
  <si>
    <t xml:space="preserve">Can they build and defend a plan a client would buy?</t>
  </si>
  <si>
    <t xml:space="preserve">Sr. Manager case. Presented as if to a prospect, then challenged hard on assumptions.</t>
  </si>
  <si>
    <t xml:space="preserve">Plan is commercially literate, assumptions are explicit, and they hold up under challenge without either caving or bristling.</t>
  </si>
  <si>
    <t xml:space="preserve">4. People &amp; process</t>
  </si>
  <si>
    <t xml:space="preserve">Head + HR</t>
  </si>
  <si>
    <t xml:space="preserve">Can they build a team, not just run accounts?</t>
  </si>
  <si>
    <t xml:space="preserve">OA-17, OA-18, OA-19, OA-27, SI-05, SI-06, SI-15, SI-16, SI-18, SI-20.</t>
  </si>
  <si>
    <t xml:space="preserve">Has genuinely developed people, has built something reusable, can have a hard conversation.</t>
  </si>
  <si>
    <t xml:space="preserve">5. Founder / final</t>
  </si>
  <si>
    <t xml:space="preserve">Founder</t>
  </si>
  <si>
    <t xml:space="preserve">Values, ambition, long-term fit.</t>
  </si>
  <si>
    <t xml:space="preserve">OA-09, OA-11, OA-12, OA-24, OA-28, SI-12, plus their questions for us.</t>
  </si>
  <si>
    <t xml:space="preserve">Would you put this person in front of your largest client next week?</t>
  </si>
  <si>
    <t xml:space="preserve">COMPETENCY FRAMEWORK - WHAT 'AT BAR' MEANS AT EACH LEVEL</t>
  </si>
  <si>
    <t xml:space="preserve">Use this to calibrate a rating of 3. Below this description = 1 or 2. Clearly beyond it = 4.</t>
  </si>
  <si>
    <t xml:space="preserve">Competency</t>
  </si>
  <si>
    <t xml:space="preserve">Google Ads craft</t>
  </si>
  <si>
    <t xml:space="preserve">Knows the hierarchy, campaign types and what a keyword is. Can explain match types roughly. No hands-on expectation.</t>
  </si>
  <si>
    <t xml:space="preserve">Can build a search campaign end to end: structure, keywords, negatives, RSAs, assets, conversion action, bid strategy. Runs the weekly search terms routine unsupervised.</t>
  </si>
  <si>
    <t xml:space="preserve">Owns strategy and structure decisions. Handles PMax, Shopping/Merchant Center, value-based bidding, offline conversion import, experiments. Diagnoses account problems without help.</t>
  </si>
  <si>
    <t xml:space="preserve">Sets platform strategy across a portfolio. Judges when automation helps and when it hides a problem. Forecasts with headroom analysis. Sets the standard others follow.</t>
  </si>
  <si>
    <t xml:space="preserve">Meta Ads craft</t>
  </si>
  <si>
    <t xml:space="preserve">Knows campaign/ad set/ad and what an objective is. Understands ads interrupt rather than capture demand.</t>
  </si>
  <si>
    <t xml:space="preserve">Builds and runs campaigns: objectives, audiences, budgets, placements, catalog basics. Understands pixel, CAPI in principle, and the learning phase.</t>
  </si>
  <si>
    <t xml:space="preserve">Owns the creative testing programme, signal quality (CAPI/EMQ), Advantage+ strategy, scaling and fatigue diagnosis. Can explain attribution gaps to a client.</t>
  </si>
  <si>
    <t xml:space="preserve">Decides the role of Meta in the mix. Runs incrementality thinking. Builds creative production systems that scale across accounts.</t>
  </si>
  <si>
    <t xml:space="preserve">Measurement, tracking &amp; analytics</t>
  </si>
  <si>
    <t xml:space="preserve">Comfortable with percentages and ratios. Can compute core metrics mentally. Curious about where numbers come from.</t>
  </si>
  <si>
    <t xml:space="preserve">Verifies tracking before trusting it. Knows GA4 vs platform differences, UTM discipline, conversion lag, and basic test validity.</t>
  </si>
  <si>
    <t xml:space="preserve">Owns the measurement stack for their accounts: conversion actions, OCI/CAPI, consent, attribution choices. Knows when a number is not trustworthy and says so.</t>
  </si>
  <si>
    <t xml:space="preserve">Sets measurement policy. Runs incrementality tests and defends them commercially. Chooses the source of truth and gets the client to agree to it.</t>
  </si>
  <si>
    <t xml:space="preserve">Commercial &amp; business acumen</t>
  </si>
  <si>
    <t xml:space="preserve">Understands that the point is to make the client money. Curious about how businesses work.</t>
  </si>
  <si>
    <t xml:space="preserve">Knows the client's target CPA/ROAS and why. Understands margin exists and that revenue is not profit.</t>
  </si>
  <si>
    <t xml:space="preserve">Works from the client's unit economics: contribution margin, break-even ROAS, CAC, CPQL, payback. Manages spend as a P&amp;L, not a budget to exhaust.</t>
  </si>
  <si>
    <t xml:space="preserve">Builds the commercial case. Forecasts, models scenarios, understands agency margin and account profitability alongside client outcomes.</t>
  </si>
  <si>
    <t xml:space="preserve">Diagnostic problem solving</t>
  </si>
  <si>
    <t xml:space="preserve">Thinks in a structure when given an unfamiliar problem. Asks what they would need to know.</t>
  </si>
  <si>
    <t xml:space="preserve">Follows a repeatable diagnostic path rather than guessing. Checks tracking and change history before theorising.</t>
  </si>
  <si>
    <t xml:space="preserve">Isolates root cause across platform, tracking, site, offer and market. Prioritises by impact and reversibility. Knows when to do nothing.</t>
  </si>
  <si>
    <t xml:space="preserve">Diagnoses at portfolio level and distinguishes an account problem from a market, product or client-side problem. Prevents recurrence with process.</t>
  </si>
  <si>
    <t xml:space="preserve">Communication &amp; client handling</t>
  </si>
  <si>
    <t xml:space="preserve">Can explain a simple concept clearly. Writes a coherent message.</t>
  </si>
  <si>
    <t xml:space="preserve">Writes clear internal updates and simple client-facing summaries. Escalates early rather than late.</t>
  </si>
  <si>
    <t xml:space="preserve">Runs client calls independently. Delivers bad news with a plan. Says no without damaging the relationship. Translates media into business language.</t>
  </si>
  <si>
    <t xml:space="preserve">Manages senior stakeholders and difficult commercial conversations. Leads QBRs and pitches. Recovers at-risk relationships.</t>
  </si>
  <si>
    <t xml:space="preserve">Ownership &amp; accountability</t>
  </si>
  <si>
    <t xml:space="preserve">Finishes what they start. Says when they are stuck rather than going quiet.</t>
  </si>
  <si>
    <t xml:space="preserve">Owns their accounts' operational health. Discloses mistakes immediately. No surprises for their manager.</t>
  </si>
  <si>
    <t xml:space="preserve">Owns outcomes, not activity. Accountable for account performance and retention. Fixes systemic causes, not just symptoms.</t>
  </si>
  <si>
    <t xml:space="preserve">Owns a portfolio's results, its people and its problems. Absorbs pressure rather than transmitting it downward.</t>
  </si>
  <si>
    <t xml:space="preserve">Learning agility &amp; self-teaching</t>
  </si>
  <si>
    <t xml:space="preserve">Strong evidence of teaching themselves something recently. This is the single most important intern signal.</t>
  </si>
  <si>
    <t xml:space="preserve">Keeps up with platform change without being told. Tests things on their own initiative.</t>
  </si>
  <si>
    <t xml:space="preserve">Forms a point of view on change rather than reacting to it. Filters hype from signal.</t>
  </si>
  <si>
    <t xml:space="preserve">Sets the agency's point of view. Decides what the team should adopt, test or ignore - and can justify it.</t>
  </si>
  <si>
    <t xml:space="preserve">Attitude, coachability &amp; culture</t>
  </si>
  <si>
    <t xml:space="preserve">Takes feedback without defensiveness. Genuinely enthusiastic rather than performatively so.</t>
  </si>
  <si>
    <t xml:space="preserve">Reliable, honest about status, willing to do unglamorous work well.</t>
  </si>
  <si>
    <t xml:space="preserve">Raises standards around them. Disagrees professionally. Does not create drag.</t>
  </si>
  <si>
    <t xml:space="preserve">Sets the cultural tone for a team. People do better work around them.</t>
  </si>
  <si>
    <t xml:space="preserve">Rigour, process &amp; people</t>
  </si>
  <si>
    <t xml:space="preserve">[Intern] Attention to detail. Checks work before submitting.</t>
  </si>
  <si>
    <t xml:space="preserve">[Associate] Has a personal QA habit. Follows naming and documentation conventions without reminders.</t>
  </si>
  <si>
    <t xml:space="preserve">[Manager] Mentors associates, reviews their work, and maintains process discipline across accounts.</t>
  </si>
  <si>
    <t xml:space="preserve">[Sr. Manager] Hires, develops and manages out. Builds processes that outlive their involvement.</t>
  </si>
  <si>
    <t xml:space="preserve">SCORECARD - INTERN</t>
  </si>
  <si>
    <t xml:space="preserve">Fill the yellow cells only. Rate on evidence you can quote. Everything else calculates automatically.</t>
  </si>
  <si>
    <t xml:space="preserve">Candidate name</t>
  </si>
  <si>
    <t xml:space="preserve">Track (Lead Gen / Ecomm / Both)</t>
  </si>
  <si>
    <t xml:space="preserve">Interviewer</t>
  </si>
  <si>
    <t xml:space="preserve">Date</t>
  </si>
  <si>
    <t xml:space="preserve">Weight</t>
  </si>
  <si>
    <t xml:space="preserve">What to probe (question IDs)</t>
  </si>
  <si>
    <t xml:space="preserve">Rating (1-4)</t>
  </si>
  <si>
    <t xml:space="preserve">Weighted</t>
  </si>
  <si>
    <t xml:space="preserve">Must-pass?</t>
  </si>
  <si>
    <t xml:space="preserve">Evidence - what did they actually say or do?</t>
  </si>
  <si>
    <t xml:space="preserve">Google Ads craft (conceptual)</t>
  </si>
  <si>
    <t xml:space="preserve">GA-01, GA-02, GA-21, GA-25. Concepts only - no hands-on expected.</t>
  </si>
  <si>
    <t xml:space="preserve">No</t>
  </si>
  <si>
    <t xml:space="preserve">Meta Ads craft (conceptual)</t>
  </si>
  <si>
    <t xml:space="preserve">MT-01, MT-17. Can they explain what Meta ads do differently to search?</t>
  </si>
  <si>
    <t xml:space="preserve">Measurement &amp; numeracy</t>
  </si>
  <si>
    <t xml:space="preserve">MX-01, MX-02, MX-11, MX-20. Live mental maths. This is non-negotiable.</t>
  </si>
  <si>
    <t xml:space="preserve">Yes</t>
  </si>
  <si>
    <t xml:space="preserve">Commercial curiosity</t>
  </si>
  <si>
    <t xml:space="preserve">OA-22. Do they think about the customer and the business, or only the ad?</t>
  </si>
  <si>
    <t xml:space="preserve">Structured problem solving</t>
  </si>
  <si>
    <t xml:space="preserve">OA-23, SI-13, SI-22. Do they build a structure when they do not know the answer?</t>
  </si>
  <si>
    <t xml:space="preserve">Communication &amp; clarity</t>
  </si>
  <si>
    <t xml:space="preserve">OA-08 (simple version). Can they explain something clearly without jargon?</t>
  </si>
  <si>
    <t xml:space="preserve">Ownership mindset</t>
  </si>
  <si>
    <t xml:space="preserve">OA-05, OA-21, SI-22. Do they finish things? Do they flag when stuck?</t>
  </si>
  <si>
    <t xml:space="preserve">OA-01, OA-02, OA-03. The most predictive signal at this level.</t>
  </si>
  <si>
    <t xml:space="preserve">Attitude &amp; coachability</t>
  </si>
  <si>
    <t xml:space="preserve">SI-17, OA-11, OA-26. Takes feedback without defending.</t>
  </si>
  <si>
    <t xml:space="preserve">Attention to detail</t>
  </si>
  <si>
    <t xml:space="preserve">Quality of their application, assignment and follow-up email.</t>
  </si>
  <si>
    <t xml:space="preserve">TOTAL</t>
  </si>
  <si>
    <t xml:space="preserve">Weighted score</t>
  </si>
  <si>
    <t xml:space="preserve">RECOMMENDATION</t>
  </si>
  <si>
    <t xml:space="preserve">The one question that overrides the score</t>
  </si>
  <si>
    <t xml:space="preserve">Would this person teach themselves something useful in a week where nobody gave them any instructions? If you cannot point to evidence that they already have, the answer is no.</t>
  </si>
  <si>
    <t xml:space="preserve">Free-text notes (strengths, risks, what you would want a second interviewer to probe)</t>
  </si>
  <si>
    <t xml:space="preserve">SCORECARD - ASSOCIATE</t>
  </si>
  <si>
    <t xml:space="preserve">GA-01 to GA-11, GA-19, GA-22, GA-25, GA-27. Must have built campaigns themselves.</t>
  </si>
  <si>
    <t xml:space="preserve">MT-01 to MT-09, MT-11, MT-12, MT-17. Learning phase and pixel/CAPI understanding.</t>
  </si>
  <si>
    <t xml:space="preserve">MX-01 to MX-04, MX-10, MX-13, MX-14, MX-17, MX-22.</t>
  </si>
  <si>
    <t xml:space="preserve">Commercial acumen</t>
  </si>
  <si>
    <t xml:space="preserve">Does the candidate know their accounts' targets and why those targets exist?</t>
  </si>
  <si>
    <t xml:space="preserve">GA-20, MT-14, SI-01, SI-09. Structured, not reactive.</t>
  </si>
  <si>
    <t xml:space="preserve">Communication</t>
  </si>
  <si>
    <t xml:space="preserve">OA-08, SI-14. Clear written updates; escalates early.</t>
  </si>
  <si>
    <t xml:space="preserve">OA-04, OA-05, SI-04. Discloses mistakes fast.</t>
  </si>
  <si>
    <t xml:space="preserve">Learning agility</t>
  </si>
  <si>
    <t xml:space="preserve">OA-01, OA-02, OA-03.</t>
  </si>
  <si>
    <t xml:space="preserve">SI-17, SI-21, OA-25. Willingness to do unglamorous work well.</t>
  </si>
  <si>
    <t xml:space="preserve">Work rigour &amp; QA discipline</t>
  </si>
  <si>
    <t xml:space="preserve">OA-13, MX-17. Do they have an actual checklist?</t>
  </si>
  <si>
    <t xml:space="preserve">Would you let this person make live changes in a client account next month with a single review, and trust them to tell you immediately if they broke something?</t>
  </si>
  <si>
    <t xml:space="preserve">SCORECARD - MANAGER</t>
  </si>
  <si>
    <t xml:space="preserve">Google Ads craft (depth &amp; judgment)</t>
  </si>
  <si>
    <t xml:space="preserve">GA-05, GA-06, GA-12 to GA-15, GA-18, GA-20, GA-23, GA-24, GA-26, GA-28, GA-30.</t>
  </si>
  <si>
    <t xml:space="preserve">Meta Ads craft (depth &amp; judgment)</t>
  </si>
  <si>
    <t xml:space="preserve">MT-04 to MT-06, MT-10, MT-13 to MT-16, MT-18, MT-19.</t>
  </si>
  <si>
    <t xml:space="preserve">MX-05, MX-08, MX-09, MX-12, MX-19. Owns the measurement stack.</t>
  </si>
  <si>
    <t xml:space="preserve">Commercial &amp; account P&amp;L acumen</t>
  </si>
  <si>
    <t xml:space="preserve">MX-06, MX-07, MX-16, MX-18, OA-27. Works from unit economics.</t>
  </si>
  <si>
    <t xml:space="preserve">Manager case + GA-20. Root cause, prioritisation, knows when to do nothing.</t>
  </si>
  <si>
    <t xml:space="preserve">Client handling &amp; communication</t>
  </si>
  <si>
    <t xml:space="preserve">Client roleplay + SI-03, SI-07, SI-10, SI-15. Bad news with a plan.</t>
  </si>
  <si>
    <t xml:space="preserve">OA-04, OA-06, SI-04, SI-12.</t>
  </si>
  <si>
    <t xml:space="preserve">Learning agility &amp; point of view</t>
  </si>
  <si>
    <t xml:space="preserve">OA-01, OA-02, OA-09.</t>
  </si>
  <si>
    <t xml:space="preserve">Attitude &amp; culture add</t>
  </si>
  <si>
    <t xml:space="preserve">OA-11, OA-14, SI-17, SI-21.</t>
  </si>
  <si>
    <t xml:space="preserve">Team leadership &amp; process</t>
  </si>
  <si>
    <t xml:space="preserve">OA-17, SI-05, SI-18. Reviews juniors' work; clean handovers.</t>
  </si>
  <si>
    <t xml:space="preserve">Would you give this person an account and go on leave for two weeks in six months' time - and would the client be happier or more anxious when you left?</t>
  </si>
  <si>
    <t xml:space="preserve">SCORECARD - SR. MANAGER</t>
  </si>
  <si>
    <t xml:space="preserve">GA-24, GA-28, GA-29 + probe any manager-level question for depth.</t>
  </si>
  <si>
    <t xml:space="preserve">MT-10, MT-18, MT-20.</t>
  </si>
  <si>
    <t xml:space="preserve">Measurement, incrementality &amp; analytics</t>
  </si>
  <si>
    <t xml:space="preserve">MX-05, MX-09, MX-15, MX-19, MX-21. Sets measurement policy.</t>
  </si>
  <si>
    <t xml:space="preserve">Commercial acumen, forecasting &amp; growth</t>
  </si>
  <si>
    <t xml:space="preserve">MX-06, MX-07, MX-15, MX-18, GA-29, OA-27 + the business case.</t>
  </si>
  <si>
    <t xml:space="preserve">Strategic problem solving</t>
  </si>
  <si>
    <t xml:space="preserve">Sr case. Portfolio-level thinking; separates account from market problems.</t>
  </si>
  <si>
    <t xml:space="preserve">Client leadership &amp; stakeholder management</t>
  </si>
  <si>
    <t xml:space="preserve">SI-03, SI-10, SI-15, SI-20 + pitch defence under challenge.</t>
  </si>
  <si>
    <t xml:space="preserve">OA-06, OA-18, SI-12, SI-16.</t>
  </si>
  <si>
    <t xml:space="preserve">Learning agility &amp; industry POV</t>
  </si>
  <si>
    <t xml:space="preserve">OA-02, OA-09. Decides what the team adopts, tests or ignores.</t>
  </si>
  <si>
    <t xml:space="preserve">OA-11, OA-12, OA-24, OA-28.</t>
  </si>
  <si>
    <t xml:space="preserve">People leadership, hiring &amp; process</t>
  </si>
  <si>
    <t xml:space="preserve">OA-17, OA-18, OA-19, SI-05, SI-06, SI-16, SI-18.</t>
  </si>
  <si>
    <t xml:space="preserve">Would you put this person in front of your largest client next week, and would you be comfortable with them hiring the next three people onto the team?</t>
  </si>
  <si>
    <t xml:space="preserve">QUESTION BANK - GOOGLE ADS</t>
  </si>
  <si>
    <t xml:space="preserve">30 questions. Filter by Level and Track. Ask 6-10 per interview and probe each one twice rather than covering all of them.</t>
  </si>
  <si>
    <t xml:space="preserve">ID</t>
  </si>
  <si>
    <t xml:space="preserve">Track</t>
  </si>
  <si>
    <t xml:space="preserve">Topic</t>
  </si>
  <si>
    <t xml:space="preserve">Question</t>
  </si>
  <si>
    <t xml:space="preserve">What a strong answer includes</t>
  </si>
  <si>
    <t xml:space="preserve">Red flag answer</t>
  </si>
  <si>
    <t xml:space="preserve">GA-01</t>
  </si>
  <si>
    <t xml:space="preserve">Intern / Associate</t>
  </si>
  <si>
    <t xml:space="preserve">Both</t>
  </si>
  <si>
    <t xml:space="preserve">Account structure</t>
  </si>
  <si>
    <t xml:space="preserve">Walk me through a Google Ads account from the top down. What is decided at each level?</t>
  </si>
  <si>
    <t xml:space="preserve">MCC/manager account &gt; Account &gt; Campaign &gt; Ad group &gt; Keywords / Ads / Assets. Knows budget, bid strategy, location, network, schedule and campaign type live at CAMPAIGN level; keywords, ads and audiences at AD GROUP level. Bonus: explains why an agency uses an MCC and why client accounts should be client-owned.</t>
  </si>
  <si>
    <t xml:space="preserve">Confuses ad group and campaign settings. Thinks budget is set per keyword or per ad.</t>
  </si>
  <si>
    <t xml:space="preserve">GA-02</t>
  </si>
  <si>
    <t xml:space="preserve">Match types</t>
  </si>
  <si>
    <t xml:space="preserve">Explain broad, phrase and exact match. When would you deliberately choose broad?</t>
  </si>
  <si>
    <t xml:space="preserve">Accurate definitions. Knows exact still matches close variants, so 'exact' is not literal. Broad only when there is strong conversion signal + Smart Bidding + a disciplined negative list + a search terms review habit. Frames match type as a signal to the algorithm, not a hard filter.</t>
  </si>
  <si>
    <t xml:space="preserve">Says exact match only shows for the exact typed query. Uses broad 'to get more volume' with no negatives and no smart bidding.</t>
  </si>
  <si>
    <t xml:space="preserve">GA-03</t>
  </si>
  <si>
    <t xml:space="preserve">Associate / Manager</t>
  </si>
  <si>
    <t xml:space="preserve">Search terms</t>
  </si>
  <si>
    <t xml:space="preserve">What is the difference between a keyword and a search term? What do you do with the search terms report every week?</t>
  </si>
  <si>
    <t xml:space="preserve">Keyword = what you bid on; search term = what the user actually typed. Weekly ritual: promote converting terms, add negatives, spot intent drift, find new themes, catch PMax/Shopping spillover. Knows the report hides low-volume and privacy-thresholded terms, so spend never fully reconciles.</t>
  </si>
  <si>
    <t xml:space="preserve">Treats them as the same thing. Has never opened the report or only looks at it when the client complains.</t>
  </si>
  <si>
    <t xml:space="preserve">GA-04</t>
  </si>
  <si>
    <t xml:space="preserve">Negatives</t>
  </si>
  <si>
    <t xml:space="preserve">Campaign-level negatives vs ad-group-level vs shared lists - how do you decide which to use?</t>
  </si>
  <si>
    <t xml:space="preserve">Shared lists for account-wide junk (jobs, free, DIY, cheap, competitor-if-policy-allows). Campaign level for intent tiering and channel separation. Ad group level for cross-negation, to force a query into the right ad group. Mentions match type of negatives and that negative broad does not match close variants.</t>
  </si>
  <si>
    <t xml:space="preserve">Dumps everything at ad group level. No naming or list structure. Cannot explain negative match types.</t>
  </si>
  <si>
    <t xml:space="preserve">GA-05</t>
  </si>
  <si>
    <t xml:space="preserve">Associate / Manager / Sr</t>
  </si>
  <si>
    <t xml:space="preserve">Lead Gen</t>
  </si>
  <si>
    <t xml:space="preserve">Conversion tracking</t>
  </si>
  <si>
    <t xml:space="preserve">The client says leads in Google Ads do not match their CRM. How do you investigate?</t>
  </si>
  <si>
    <t xml:space="preserve">Systematic: definition mismatch (form fill vs qualified lead), attribution model and window, conversion date vs click date, 'count every' vs 'one', tag firing twice or on refresh, thank-you page reachable directly, consent mode gaps, bot submissions, timezone, GCLID not being captured or stored. Ends by proposing offline conversion import to close the loop permanently.</t>
  </si>
  <si>
    <t xml:space="preserve">Blames the CRM or says 'Google always over-reports' and moves on.</t>
  </si>
  <si>
    <t xml:space="preserve">GA-06</t>
  </si>
  <si>
    <t xml:space="preserve">Manager / Sr</t>
  </si>
  <si>
    <t xml:space="preserve">Offline conversions</t>
  </si>
  <si>
    <t xml:space="preserve">Explain offline conversion import and why it matters for a lead gen account.</t>
  </si>
  <si>
    <t xml:space="preserve">Capture GCLID (or WBRAID/GBRAID) on the form, store it against the lead in the CRM, push qualified / SQL / closed-won back with a value so Smart Bidding optimises to revenue rather than raw form fills. Knows upload cadence, click-to-conversion window limits, and Enhanced Conversions for Leads (hashed email/phone) as the fallback when GCLID capture is not possible.</t>
  </si>
  <si>
    <t xml:space="preserve">Has never heard of it. Believes tCPA on form fills is sufficient on every account.</t>
  </si>
  <si>
    <t xml:space="preserve">GA-07</t>
  </si>
  <si>
    <t xml:space="preserve">Bid strategies</t>
  </si>
  <si>
    <t xml:space="preserve">Walk me through the main bid strategies and when each is appropriate.</t>
  </si>
  <si>
    <t xml:space="preserve">Maximise Clicks (priming a new account, traffic goals), Maximise Conversions (+ optional tCPA), Maximise Conversion Value (+ tROAS), Target Impression Share (brand defence only), Manual/eCPC for very low data. Ties the choice to conversion volume, signal quality and business goal. Mentions portfolio strategies for pooled learning and that changing strategy triggers a relearning period.</t>
  </si>
  <si>
    <t xml:space="preserve">Recommends tROAS on an account with three conversions a month. Picks a strategy because 'it is the newest one'.</t>
  </si>
  <si>
    <t xml:space="preserve">GA-08</t>
  </si>
  <si>
    <t xml:space="preserve">Auction mechanics</t>
  </si>
  <si>
    <t xml:space="preserve">What makes up Ad Rank, and why does it matter beyond position?</t>
  </si>
  <si>
    <t xml:space="preserve">Bid, ad quality (expected CTR, ad relevance, landing page experience), Ad Rank thresholds, auction context, and expected impact of assets. Ad Rank determines eligibility, position, whether assets show, and the actual CPC - you pay the minimum needed to beat the next advertiser. So relevance lowers cost, not just position.</t>
  </si>
  <si>
    <t xml:space="preserve">Says the highest bid wins.</t>
  </si>
  <si>
    <t xml:space="preserve">GA-09</t>
  </si>
  <si>
    <t xml:space="preserve">Impression share</t>
  </si>
  <si>
    <t xml:space="preserve">Search Lost IS (budget) is 45% and Lost IS (rank) is 20%. What is your first move?</t>
  </si>
  <si>
    <t xml:space="preserve">Budget constrained - but does NOT reflexively add budget. Checks whether the constrained campaigns are hitting efficiency targets first, reallocates from underperformers before asking for more money, checks pacing and whether the daily budget is genuinely capping. Then handles rank loss via quality, relevance and bid work.</t>
  </si>
  <si>
    <t xml:space="preserve">'Increase the budget' with no efficiency check. Cannot explain the difference between the two metrics.</t>
  </si>
  <si>
    <t xml:space="preserve">GA-10</t>
  </si>
  <si>
    <t xml:space="preserve">Ad copy / RSA</t>
  </si>
  <si>
    <t xml:space="preserve">How do you build a strong RSA, and how do you use pinning?</t>
  </si>
  <si>
    <t xml:space="preserve">Up to 15 headlines and 4 descriptions, each a genuinely distinct angle - offer, proof, USP, objection handling, CTA, urgency. Pins used sparingly for brand, legal or a mandatory claim, because pinning cuts the combination pool. Knows Ad Strength is a guideline, not a ranking factor. Uses asset-level performance (Low/Good/Best) to rotate out losers.</t>
  </si>
  <si>
    <t xml:space="preserve">Writes 15 near-identical headlines. Pins everything. Treats 'Excellent' Ad Strength as the goal in itself.</t>
  </si>
  <si>
    <t xml:space="preserve">GA-11</t>
  </si>
  <si>
    <t xml:space="preserve">Assets / extensions</t>
  </si>
  <si>
    <t xml:space="preserve">Which ad assets would you set up on day one and why?</t>
  </si>
  <si>
    <t xml:space="preserve">Sitelinks (4+, descriptive), callouts, structured snippets, call, location where relevant, image, price, promotion for ecomm, lead form with caution. Explains they lift CTR and expected impact on Ad Rank, take more SERP real estate, and cost nothing extra per impression.</t>
  </si>
  <si>
    <t xml:space="preserve">Cannot name more than two. Thinks assets cost extra or are optional decoration.</t>
  </si>
  <si>
    <t xml:space="preserve">GA-12</t>
  </si>
  <si>
    <t xml:space="preserve">Performance Max</t>
  </si>
  <si>
    <t xml:space="preserve">Would you run Performance Max for a lead gen client? Argue both sides.</t>
  </si>
  <si>
    <t xml:space="preserve">Pro: incremental reach when Search is capped, works well with strong signal. Con: lead quality risk, limited query control, brand cannibalisation. Conditions it properly - brand exclusions, campaign-level negatives, value-based bidding on qualified leads via OCI, a lead-scoring feed, and a separate controlled Search campaign for brand. Would not launch it without downstream quality data.</t>
  </si>
  <si>
    <t xml:space="preserve">Blanket 'PMax is a black box, never use it' or 'PMax is the future, run everything through it' with no conditions.</t>
  </si>
  <si>
    <t xml:space="preserve">GA-13</t>
  </si>
  <si>
    <t xml:space="preserve">Ecomm</t>
  </si>
  <si>
    <t xml:space="preserve">PMax structure</t>
  </si>
  <si>
    <t xml:space="preserve">How would you structure Performance Max for an ecommerce account with 4,000 SKUs?</t>
  </si>
  <si>
    <t xml:space="preserve">Segments by economics not by whim - custom labels for margin tier, price band, bestseller, seasonality, stock depth. Separate asset groups per category with matched creative and audience signals. Listing groups to isolate priority ranges. Brand exclusions so brand traffic stays in a controlled Search campaign. Respects budget minimums so no campaign starves in learning. Mentions a feed-only asset group as a control test.</t>
  </si>
  <si>
    <t xml:space="preserve">One PMax campaign, all products, default settings, no custom labels, no brand exclusion.</t>
  </si>
  <si>
    <t xml:space="preserve">GA-14</t>
  </si>
  <si>
    <t xml:space="preserve">Merchant Center</t>
  </si>
  <si>
    <t xml:space="preserve">What are the essential product feed attributes, and what breaks most often in practice?</t>
  </si>
  <si>
    <t xml:space="preserve">id, title, description, link, image_link, availability, price, brand, gtin/mpn, condition, product_type, google_product_category. Common breakages: price or availability mismatch with the site, missing GTIN, image policy, misrepresentation disapprovals, stale stock, shipping/tax config. Uses feed rules and supplemental feeds; checks Diagnostics weekly rather than after a client complaint.</t>
  </si>
  <si>
    <t xml:space="preserve">Does not know Merchant Center is separate from Google Ads. Has never seen a disapproval.</t>
  </si>
  <si>
    <t xml:space="preserve">GA-15</t>
  </si>
  <si>
    <t xml:space="preserve">Feed strategy</t>
  </si>
  <si>
    <t xml:space="preserve">How would you use title optimisation and custom labels to improve Shopping performance?</t>
  </si>
  <si>
    <t xml:space="preserve">Titles front-load brand + product type + the attributes people actually search (size, colour, model, compatibility), tested via a supplemental feed rather than editing the source. Custom labels segment by margin, price band, seasonality, bestseller and stock so bids and budgets follow profit rather than revenue. Understands the feed is the targeting mechanism in Shopping.</t>
  </si>
  <si>
    <t xml:space="preserve">Thinks Shopping is driven by keywords you add manually. Has never touched a supplemental feed.</t>
  </si>
  <si>
    <t xml:space="preserve">GA-16</t>
  </si>
  <si>
    <t xml:space="preserve">Geo targeting</t>
  </si>
  <si>
    <t xml:space="preserve">Talk me through location targeting options. What is the trap here?</t>
  </si>
  <si>
    <t xml:space="preserve">Presence ('people in or regularly in') vs Presence or Interest ('people searching about'). The trap is running Presence-or-Interest by accident and paying for out-of-market searchers - fatal for local lead gen. Also covers location exclusions, radius targeting, and always setting it explicitly rather than trusting a default that Google has changed before.</t>
  </si>
  <si>
    <t xml:space="preserve">Has never opened the location options setting.</t>
  </si>
  <si>
    <t xml:space="preserve">GA-17</t>
  </si>
  <si>
    <t xml:space="preserve">Audiences</t>
  </si>
  <si>
    <t xml:space="preserve">Observation vs Targeting for audiences - what is the difference and how do you use each?</t>
  </si>
  <si>
    <t xml:space="preserve">Observation reports and allows bid adjustments without narrowing reach; Targeting restricts delivery to that audience. Standard practice: observation on Search to gather data then bid adjust; targeting reserved for deliberate RLSA or tight remarketing plays. Mentions customer match and first-party data lists.</t>
  </si>
  <si>
    <t xml:space="preserve">Applies Targeting everywhere and is surprised when volume collapses.</t>
  </si>
  <si>
    <t xml:space="preserve">GA-18</t>
  </si>
  <si>
    <t xml:space="preserve">Attribution</t>
  </si>
  <si>
    <t xml:space="preserve">Data-driven attribution is now the default. What changed, and how do you explain a reporting shift to a client?</t>
  </si>
  <si>
    <t xml:space="preserve">DDA distributes fractional credit across the path; last-click is no longer selectable for new configurations. Conversions are reported at the click date, so recent days back-fill and should never be judged as final. GA4 uses a different model and date logic, so the two will never tie out. Explains it in business language and sets a reporting lag convention with the client up front.</t>
  </si>
  <si>
    <t xml:space="preserve">Reads yesterday's ROAS as final truth and reports it. Cannot explain why GA4 and Ads differ.</t>
  </si>
  <si>
    <t xml:space="preserve">GA-19</t>
  </si>
  <si>
    <t xml:space="preserve">Testing</t>
  </si>
  <si>
    <t xml:space="preserve">How do you test a change properly in Google Ads?</t>
  </si>
  <si>
    <t xml:space="preserve">Drafts and Experiments with a 50/50 split, one variable, a primary metric and minimum detectable effect agreed before launch, run through the full conversion lag and at least 2-4 weeks, no mid-flight edits. Respects the bid strategy learning period. Documents the result whether it wins or loses.</t>
  </si>
  <si>
    <t xml:space="preserve">'I changed it and CPA dropped the next day, so it worked.'</t>
  </si>
  <si>
    <t xml:space="preserve">GA-20</t>
  </si>
  <si>
    <t xml:space="preserve">Diagnosis</t>
  </si>
  <si>
    <t xml:space="preserve">Conversions dropped 40% week on week. Give me your first ten checks, in order.</t>
  </si>
  <si>
    <t xml:space="preserve">Tracking first (tag firing, site release, consent banner, Ads vs GA4 vs backend), then change history, then budget and pacing, bid strategy or target edits, disapprovals and policy, landing page uptime and speed, auction insights and competitor entry, seasonality and YoY, device and geo splits, and finally confirmation against the client's backend. Checks change history before theorising.</t>
  </si>
  <si>
    <t xml:space="preserve">Jumps straight to raising bids or blaming 'the algorithm'.</t>
  </si>
  <si>
    <t xml:space="preserve">GA-21</t>
  </si>
  <si>
    <t xml:space="preserve">Campaign types</t>
  </si>
  <si>
    <t xml:space="preserve">What is the difference between Search, Display, Video, Shopping, Demand Gen and Performance Max?</t>
  </si>
  <si>
    <t xml:space="preserve">Distinguishes capturing existing demand (Search, Shopping) from creating it (Display, Video, Demand Gen), and knows Shopping is feed-driven while PMax spans all inventory. At intern level, a clear conceptual articulation is enough - precision on settings is not expected.</t>
  </si>
  <si>
    <t xml:space="preserve">Cannot distinguish them. Believes all Google advertising is search ads.</t>
  </si>
  <si>
    <t xml:space="preserve">GA-22</t>
  </si>
  <si>
    <t xml:space="preserve">Tooling</t>
  </si>
  <si>
    <t xml:space="preserve">You need to make 300 changes across an account. How do you do it efficiently and safely?</t>
  </si>
  <si>
    <t xml:space="preserve">Google Ads Editor: export a backup first, edit offline, run the error check, post, then verify in change history. Bulk sheets or scripts for recurring work. Labels applied to the change set so it can be measured and rolled back. Emphasises the backup and the verification, not just the speed.</t>
  </si>
  <si>
    <t xml:space="preserve">Does it one by one in the UI, or makes bulk edits with no backup and no verification.</t>
  </si>
  <si>
    <t xml:space="preserve">GA-23</t>
  </si>
  <si>
    <t xml:space="preserve">Lead quality</t>
  </si>
  <si>
    <t xml:space="preserve">The client says 60% of the leads are junk. What is your plan?</t>
  </si>
  <si>
    <t xml:space="preserve">Defines 'junk' with the client first, then samples and categorises (bot, wrong geo, wrong service, price shopper, duplicate, not decision maker). Fixes at source: search terms and negatives, PMax exclusions, form friction and qualifying questions, honeypot/reCAPTCHA, geo settings, pre-qualifying ad copy and landing page clarity. Then moves bidding onto qualified-lead conversions via OCI and shifts the reported metric from CPL to CPQL.</t>
  </si>
  <si>
    <t xml:space="preserve">'That is the sales team's problem.' Or optimises harder to CPL and reports it as an improvement.</t>
  </si>
  <si>
    <t xml:space="preserve">GA-24</t>
  </si>
  <si>
    <t xml:space="preserve">Brand vs non-brand</t>
  </si>
  <si>
    <t xml:space="preserve">How do you handle brand search, and how do you argue for or against it with a client?</t>
  </si>
  <si>
    <t xml:space="preserve">Always in its own campaign with tight negatives and its own budget. For: competitor and affiliate defence, message control, cheap conversions. Against: potential cannibalisation of organic - and the honest answer is to test it with a brand holdout or geo split rather than assert. Non-negotiable: brand and non-brand reported separately so blended ROAS is not flattered by demand you did not create.</t>
  </si>
  <si>
    <t xml:space="preserve">Reports one blended ROAS including brand and presents it as campaign performance.</t>
  </si>
  <si>
    <t xml:space="preserve">GA-25</t>
  </si>
  <si>
    <t xml:space="preserve">Quality Score</t>
  </si>
  <si>
    <t xml:space="preserve">What is Quality Score made of, and what can you actually control?</t>
  </si>
  <si>
    <t xml:space="preserve">Expected CTR, ad relevance, landing page experience, reported 1-10 at keyword level. Controllable via tighter ad group themes, ad copy that mirrors the keyword and the query, and landing page relevance and speed. Knows it is a diagnostic, not a direct input you bid on.</t>
  </si>
  <si>
    <t xml:space="preserve">Thinks Quality Score is driven by how much you spend.</t>
  </si>
  <si>
    <t xml:space="preserve">GA-26</t>
  </si>
  <si>
    <t xml:space="preserve">Value bidding</t>
  </si>
  <si>
    <t xml:space="preserve">Explain tROAS, and how you would move an account from tCPA to tROAS.</t>
  </si>
  <si>
    <t xml:space="preserve">Requires clean conversion values, ideally margin-adjusted (value rules or a profit supplemental feed) so the algorithm chases profit, not revenue. Migrates only when value tracking is verified and volume supports it. Sets the initial target from trailing achieved ROAS, not the client's aspiration, then steps 10-15% at a time allowing relearning between moves.</t>
  </si>
  <si>
    <t xml:space="preserve">Sets tROAS at 8x on an account currently delivering 3x and waits for it to work.</t>
  </si>
  <si>
    <t xml:space="preserve">GA-27</t>
  </si>
  <si>
    <t xml:space="preserve">Budget mechanics</t>
  </si>
  <si>
    <t xml:space="preserve">A campaign has a 5,000/day budget and spent 6,200 yesterday. Is that a problem?</t>
  </si>
  <si>
    <t xml:space="preserve">No. Google can overdeliver on any given day but will not exceed the monthly charging limit (average daily budget x 30.4). Explains monthly pacing, why daily numbers mislead, and how to actually monitor pacing.</t>
  </si>
  <si>
    <t xml:space="preserve">Panics, reports an overspend to the client, or halves the budget in response.</t>
  </si>
  <si>
    <t xml:space="preserve">GA-28</t>
  </si>
  <si>
    <t xml:space="preserve">Structure philosophy</t>
  </si>
  <si>
    <t xml:space="preserve">SKAGs vs thematic ad groups vs heavy consolidation - where do you land today, and why?</t>
  </si>
  <si>
    <t xml:space="preserve">Reasons from data density and control needs, not dogma. Close variants and Smart Bidding both reward pooled conversion data, so consolidation usually wins - but you separate when the ECONOMICS differ (margin, service line, geography, funnel stage, different CPA targets), not merely when the keywords differ. Can name the trade-off they accept either way.</t>
  </si>
  <si>
    <t xml:space="preserve">Recites a blog post. Insists on SKAGs or on full consolidation with no situational reasoning.</t>
  </si>
  <si>
    <t xml:space="preserve">GA-29</t>
  </si>
  <si>
    <t xml:space="preserve">Sr</t>
  </si>
  <si>
    <t xml:space="preserve">Forecasting</t>
  </si>
  <si>
    <t xml:space="preserve">The client asks: 'if we double the budget, what happens?' How do you answer responsibly?</t>
  </si>
  <si>
    <t xml:space="preserve">Uses impression share headroom, category search volume, auction insights, and the historical marginal CPA/ROAS curve. Separates campaigns with genuine headroom from saturated ones. Gives a range with stated assumptions, not a single number, and proposes a staged ramp (e.g. +25% steps with review gates) rather than a step change. Names what would invalidate the forecast.</t>
  </si>
  <si>
    <t xml:space="preserve">Promises linear scaling: 'double the spend, double the leads.'</t>
  </si>
  <si>
    <t xml:space="preserve">GA-30</t>
  </si>
  <si>
    <t xml:space="preserve">Privacy &amp; consent</t>
  </si>
  <si>
    <t xml:space="preserve">How do Consent Mode and modelled conversions change what you report?</t>
  </si>
  <si>
    <t xml:space="preserve">Consent Mode v2 sends cookieless signals when consent is denied and Google models the gap. Modelled conversions cannot be tied to individuals, so platform and CRM will never reconcile exactly. Enhanced Conversions improve match rates. Practical response: report on trend and on a blended backend truth, and set that expectation with the client before it becomes an argument.</t>
  </si>
  <si>
    <t xml:space="preserve">Unaware of consent mode. Insists platform and CRM should match one to one.</t>
  </si>
  <si>
    <t xml:space="preserve">QUESTION BANK - META ADS</t>
  </si>
  <si>
    <t xml:space="preserve">20 questions. Filter by Level and Track. Meta depth matters most where creative and signal quality drive results.</t>
  </si>
  <si>
    <t xml:space="preserve">MT-01</t>
  </si>
  <si>
    <t xml:space="preserve">Explain the Meta campaign structure and what is decided at each level.</t>
  </si>
  <si>
    <t xml:space="preserve">Campaign (objective, buying type, budget if using campaign budget optimisation) &gt; Ad set (audience, placements, optimisation event, schedule, budget if ABO, bid strategy) &gt; Ad (creative, primary text, headline, CTA, destination). Knows the optimisation event sits at ad set level and drives everything.</t>
  </si>
  <si>
    <t xml:space="preserve">Puts audience or budget at the wrong level. Cannot explain what an optimisation event is.</t>
  </si>
  <si>
    <t xml:space="preserve">MT-02</t>
  </si>
  <si>
    <t xml:space="preserve">Objectives</t>
  </si>
  <si>
    <t xml:space="preserve">Which objective would you pick for this client, and why does that choice matter so much?</t>
  </si>
  <si>
    <t xml:space="preserve">Objective determines the optimisation model and the auction pool Meta bids into. Leads (instant form or website lead) or Sales (purchase) depending on the goal. Explicitly warns against picking Traffic or Engagement to make surface metrics look good, since it buys cheap clicks from people who never convert.</t>
  </si>
  <si>
    <t xml:space="preserve">Picks Traffic because 'the clicks are cheaper' or Engagement because 'it warms the audience'.</t>
  </si>
  <si>
    <t xml:space="preserve">MT-03</t>
  </si>
  <si>
    <t xml:space="preserve">Instant forms vs LP</t>
  </si>
  <si>
    <t xml:space="preserve">Instant forms versus sending traffic to a landing page - what are the trade-offs?</t>
  </si>
  <si>
    <t xml:space="preserve">Instant forms: much lower friction, cheaper CPL, higher volume, weaker intent, and useless without fast CRM sync and speed-to-lead. Landing page: higher intent, more context and qualification, higher CPL. Mentions the higher-intent form option, conditional logic and custom qualifying questions. Judges both on downstream quality, not CPL.</t>
  </si>
  <si>
    <t xml:space="preserve">Only knows one option. Chooses purely on CPL.</t>
  </si>
  <si>
    <t xml:space="preserve">MT-04</t>
  </si>
  <si>
    <t xml:space="preserve">Meta CPL is excellent but the sales team says the leads are worthless. What do you change?</t>
  </si>
  <si>
    <t xml:space="preserve">Adds friction deliberately - higher intent form, review step, qualifying questions, price anchoring in the creative. Moves optimisation to a deeper event via CAPI (qualified lead, booked call, closed won). Feeds CRM outcomes back so lookalikes are built on closed-won, not on all leads. Checks placements and creative promise. Works with the client on speed-to-lead, because response time is often the real problem.</t>
  </si>
  <si>
    <t xml:space="preserve">Optimises harder to CPL. Says the creative is fine and the sales team is weak.</t>
  </si>
  <si>
    <t xml:space="preserve">MT-05</t>
  </si>
  <si>
    <t xml:space="preserve">Pixel &amp; CAPI</t>
  </si>
  <si>
    <t xml:space="preserve">What is the Conversions API and why do we run it alongside the pixel?</t>
  </si>
  <si>
    <t xml:space="preserve">Server-side event delivery that survives ad blockers, ITP and browser signal loss. Runs alongside the browser pixel with a shared event_id so events deduplicate. Improves Event Match Quality by passing hashed email, phone, external_id, fbc/fbp, IP and user agent. Better matching means better attribution AND better optimisation, which is the part most people miss.</t>
  </si>
  <si>
    <t xml:space="preserve">Thinks CAPI replaces the pixel, or that a one-click Shopify toggle is a complete implementation.</t>
  </si>
  <si>
    <t xml:space="preserve">MT-06</t>
  </si>
  <si>
    <t xml:space="preserve">Signal quality</t>
  </si>
  <si>
    <t xml:space="preserve">Event Match Quality is 4.2 out of 10. What do you do?</t>
  </si>
  <si>
    <t xml:space="preserve">Passes more and better parameters (hashed email and phone, external_id, fbc/fbp, client IP and user agent), captures and persists fbclid, verifies deduplication is actually working, verifies the domain, and checks the server-side implementation rather than assuming the app did it. Connects the fix to expected CPA improvement.</t>
  </si>
  <si>
    <t xml:space="preserve">Has never looked at Event Match Quality.</t>
  </si>
  <si>
    <t xml:space="preserve">MT-07</t>
  </si>
  <si>
    <t xml:space="preserve">AEM &amp; privacy</t>
  </si>
  <si>
    <t xml:space="preserve">Why do domain verification and the aggregated event limit matter?</t>
  </si>
  <si>
    <t xml:space="preserve">Post-ATT, Aggregated Event Measurement caps you at eight prioritised conversion events per verified domain, and for opted-out users only the highest-priority event is reported. Attribution windows shrink. Domain verification in Business Manager is a prerequisite. Practical impact: you must choose which events you can optimise for and prioritise them deliberately.</t>
  </si>
  <si>
    <t xml:space="preserve">Cannot explain what changed after ATT. Has never set event priority.</t>
  </si>
  <si>
    <t xml:space="preserve">MT-08</t>
  </si>
  <si>
    <t xml:space="preserve">Learning phase</t>
  </si>
  <si>
    <t xml:space="preserve">What is the learning phase, and how do you avoid living permanently inside it?</t>
  </si>
  <si>
    <t xml:space="preserve">Roughly 50 optimisation events per ad set per week to exit. Significant edits reset it. Avoid by consolidating rather than splitting budget across many ad sets, batching edits, ensuring the budget can actually produce 50 events at current CPA, and optimising for a higher-volume upstream event when the deep event is too rare.</t>
  </si>
  <si>
    <t xml:space="preserve">Edits daily and cannot explain why performance is erratic. Runs twelve ad sets on a small budget.</t>
  </si>
  <si>
    <t xml:space="preserve">MT-09</t>
  </si>
  <si>
    <t xml:space="preserve">Budget structure</t>
  </si>
  <si>
    <t xml:space="preserve">Campaign budget (CBO / Advantage+) versus ad set budgets - when do you use each?</t>
  </si>
  <si>
    <t xml:space="preserve">Campaign budget for efficiency and consolidated learning when audiences are broadly comparable. Ad set budgets when you need guaranteed spend on a specific segment - a controlled test, a retargeting pool, a geo commitment - or when the algorithm consistently starves a strategically important audience. Decision is about control versus efficiency.</t>
  </si>
  <si>
    <t xml:space="preserve">'CBO is always better.' No reasoning either way.</t>
  </si>
  <si>
    <t xml:space="preserve">MT-10</t>
  </si>
  <si>
    <t xml:space="preserve">Advantage+ Shopping</t>
  </si>
  <si>
    <t xml:space="preserve">How does Advantage+ Shopping fit into an ecommerce account, and how do you keep control of it?</t>
  </si>
  <si>
    <t xml:space="preserve">Heavily automated and broad by default; the real levers are the existing-customer budget cap, geo, catalog and product sets, exclusions, creative variety, and how much budget you hand it. Runs alongside a lean BAU structure for prospecting tests and controlled retargeting. Critically: judges it on new-customer share and incrementality, because its headline ROAS absorbs retargeting and existing demand.</t>
  </si>
  <si>
    <t xml:space="preserve">Runs ASC only and reports its ROAS as if the whole number were incremental.</t>
  </si>
  <si>
    <t xml:space="preserve">MT-11</t>
  </si>
  <si>
    <t xml:space="preserve">Catalog / DPA</t>
  </si>
  <si>
    <t xml:space="preserve">How do dynamic product ads actually work, and what breaks them?</t>
  </si>
  <si>
    <t xml:space="preserve">Catalog synced from the store, product sets defined, and pixel/CAPI firing ViewContent, AddToCart and Purchase with content_ids that match the catalog IDs and the right content_type. Breaks: ID mismatch between feed and pixel, stale or partial feed, out-of-stock items, missing or policy-violating images, currency mismatch, product vs product_group confusion.</t>
  </si>
  <si>
    <t xml:space="preserve">Cannot explain the content_id link between pixel and catalog.</t>
  </si>
  <si>
    <t xml:space="preserve">MT-12</t>
  </si>
  <si>
    <t xml:space="preserve">Walk me through the audience types and how you would layer them today.</t>
  </si>
  <si>
    <t xml:space="preserve">Custom audiences (site visitors by event and recency, video viewers, lead form openers, IG/FB engagers, customer lists), lookalikes 1-10% built off the strongest seed (purchasers, high LTV, closed-won - not all leads), broad and interest, Advantage+ audience with suggestions treated as a signal rather than a hard target. Uses exclusions to stop overlap. Notes that in 2026 the creative does most of the targeting.</t>
  </si>
  <si>
    <t xml:space="preserve">Builds thirty interest-based ad sets with tiny budgets and calls it testing.</t>
  </si>
  <si>
    <t xml:space="preserve">MT-13</t>
  </si>
  <si>
    <t xml:space="preserve">Creative system</t>
  </si>
  <si>
    <t xml:space="preserve">Creative is the main lever on Meta now. Describe how you would run a creative programme.</t>
  </si>
  <si>
    <t xml:space="preserve">A concept &gt; angle &gt; format matrix with a monthly output target, hooks tested first because most drop-off is in the first three seconds, and iteration on winners rather than constant replacement. Uses diagnostics to isolate the problem: hook rate (3s views / impressions), hold rate, CTR, then CVR - separating a creative problem from an offer problem from a landing page problem. Mixes UGC, static and produced video.</t>
  </si>
  <si>
    <t xml:space="preserve">'We refresh the creative whenever the client sends us new images.' No testing structure, no diagnostics.</t>
  </si>
  <si>
    <t xml:space="preserve">MT-14</t>
  </si>
  <si>
    <t xml:space="preserve">Fatigue diagnosis</t>
  </si>
  <si>
    <t xml:space="preserve">How do you tell creative fatigue apart from audience saturation or an offer problem?</t>
  </si>
  <si>
    <t xml:space="preserve">Fatigue: frequency rising, CTR falling, CPM flat or rising, CVR unchanged. Saturation: reach plateaus and frequency is high across all creative, not just one. Offer or landing page: CTR is healthy but CVR is falling. Market-wide: CPM rises across the whole account and the category at once (Q4, sale periods, elections).</t>
  </si>
  <si>
    <t xml:space="preserve">Blames 'the algorithm' or immediately duplicates the ad set.</t>
  </si>
  <si>
    <t xml:space="preserve">MT-15</t>
  </si>
  <si>
    <t xml:space="preserve">Meta reports 40 purchases, Shopify shows 25. Explain this to the client.</t>
  </si>
  <si>
    <t xml:space="preserve">Different measurement, not a bug. Meta is self-reported with a 7-day click / 1-day view default, includes view-through and cross-device, and includes modelled conversions. Shopify is last-click and session-based. Neither is lying. Fix: agree one source of truth (the backend), track MER, enforce UTM discipline, add a post-purchase survey, and run geo holdouts when the stakes justify it.</t>
  </si>
  <si>
    <t xml:space="preserve">Declares one platform right and the other wrong. Or quietly reports the bigger number.</t>
  </si>
  <si>
    <t xml:space="preserve">MT-16</t>
  </si>
  <si>
    <t xml:space="preserve">How do you run a valid test on Meta?</t>
  </si>
  <si>
    <t xml:space="preserve">Uses the A/B test tool, which splits users properly - as opposed to duplicating an ad set, which creates audience overlap and unequal delivery. One variable, primary metric defined in advance, duration calculated from expected conversion volume, runs through the learning phase, no mid-flight edits. For big strategic claims, escalates to conversion lift or a geo holdout.</t>
  </si>
  <si>
    <t xml:space="preserve">Duplicates an ad set, calls it a split test, and reads the result after 48 hours.</t>
  </si>
  <si>
    <t xml:space="preserve">MT-17</t>
  </si>
  <si>
    <t xml:space="preserve">Placements</t>
  </si>
  <si>
    <t xml:space="preserve">Advantage+ placements or manual placements - how do you decide?</t>
  </si>
  <si>
    <t xml:space="preserve">Advantage+ by default for delivery efficiency and cheaper inventory. Manual when the creative genuinely does not adapt to a format (text-heavy static in Reels), when brand safety requires excluding Audience Network, or when the placement breakdown shows a persistent quality problem. Always looks at the breakdown before excluding anything.</t>
  </si>
  <si>
    <t xml:space="preserve">Excludes Audience Network reflexively because 'someone said it is bot traffic', with no data.</t>
  </si>
  <si>
    <t xml:space="preserve">MT-18</t>
  </si>
  <si>
    <t xml:space="preserve">Scaling</t>
  </si>
  <si>
    <t xml:space="preserve">You need to triple spend on a Meta account in six weeks without wrecking CPA. What is the plan?</t>
  </si>
  <si>
    <t xml:space="preserve">Checks headroom first (frequency, reach saturation, auction pressure). Scales in 20-30% steps or duplicates and scales. Expands geos and audience pools. Increases creative volume, because creative supply is usually the real constraint. Considers broadening the optimisation event. Negotiates a target CPA BAND rather than a point target, and monitors new-customer CAC and MER rather than platform ROAS alone.</t>
  </si>
  <si>
    <t xml:space="preserve">Doubles the budget overnight, watches CPA spike, and blames the platform.</t>
  </si>
  <si>
    <t xml:space="preserve">MT-19</t>
  </si>
  <si>
    <t xml:space="preserve">Policy &amp; account health</t>
  </si>
  <si>
    <t xml:space="preserve">An ad account gets restricted. What do you do?</t>
  </si>
  <si>
    <t xml:space="preserve">Does not spin up a replacement account, because that risks the whole Business Manager. Reads the specific policy cited, audits the ad and the landing page for the actual violation (before/after imagery, personal attributes, health or income claims, LP mismatch), submits a review with a clear correction, escalates through the partner/rep channel if the agency has one, and documents it. Preventatively: pre-launch policy review, separate BMs per client, 2FA and access hygiene.</t>
  </si>
  <si>
    <t xml:space="preserve">Immediately creates a new ad account or a new Business Manager.</t>
  </si>
  <si>
    <t xml:space="preserve">MT-20</t>
  </si>
  <si>
    <t xml:space="preserve">Channel strategy</t>
  </si>
  <si>
    <t xml:space="preserve">A new client has a large monthly budget. How do you decide the Google versus Meta split?</t>
  </si>
  <si>
    <t xml:space="preserve">Starts from where the demand actually is: category search volume and intent (Google captures) versus audience size and creative-led demand creation (Meta generates). Weighs AOV, purchase cycle length, product complexity, existing brand awareness, competitive density and any historical data. Proposes a starting split WITH an explicit reallocation rule based on marginal CPA/ROAS after 6-8 weeks. Treats it as a hypothesis, not a formula.</t>
  </si>
  <si>
    <t xml:space="preserve">Gives a fixed 60/40 split with no reasoning, or says 'it depends' and stops there.</t>
  </si>
  <si>
    <t xml:space="preserve">QUESTION BANK - METRICS, MEASUREMENT &amp; ANALYTICS</t>
  </si>
  <si>
    <t xml:space="preserve">22 questions. MX-02 (live mental arithmetic) should be asked at every level without exception.</t>
  </si>
  <si>
    <t xml:space="preserve">MX-01</t>
  </si>
  <si>
    <t xml:space="preserve">Definitions</t>
  </si>
  <si>
    <t xml:space="preserve">Define CTR, CPC, CPM, CPA, CVR and ROAS, and give me the formula for each.</t>
  </si>
  <si>
    <t xml:space="preserve">CTR = clicks / impressions. CPC = cost / clicks. CPM = cost / impressions x 1000. CPA = cost / conversions. CVR = conversions / clicks. ROAS = revenue / cost. Should be immediate and confident at any level.</t>
  </si>
  <si>
    <t xml:space="preserve">Confuses CPA with CPC. Cannot write the formulas without prompting.</t>
  </si>
  <si>
    <t xml:space="preserve">MX-02</t>
  </si>
  <si>
    <t xml:space="preserve">Live numeracy</t>
  </si>
  <si>
    <t xml:space="preserve">Spend 50,000. Impressions 25,000. Clicks 1,000. Conversions 40. Revenue 200,000. Calculate CTR, CPC, CPM, CPA, CVR and ROAS. Out loud, no calculator.</t>
  </si>
  <si>
    <t xml:space="preserve">CTR 4%. CPC 50. CPM 2,000. CPA 1,250. CVR 4%. ROAS 4x. Look for comfort with mental arithmetic and for the candidate sanity-checking their own answer.</t>
  </si>
  <si>
    <t xml:space="preserve">Freezes. Makes unit errors (e.g. CPM without the x1000). Cannot self-check.</t>
  </si>
  <si>
    <t xml:space="preserve">MX-03</t>
  </si>
  <si>
    <t xml:space="preserve">Metric relationships</t>
  </si>
  <si>
    <t xml:space="preserve">CPA is rising but CPC is flat. What does that tell you, and where do you look?</t>
  </si>
  <si>
    <t xml:space="preserve">Conversion rate has fallen, because CPA = CPC / CVR. So the problem is downstream of the click: landing page, offer, traffic intent, tracking breakage, or seasonality. Explicitly NOT an auction problem. Should reason from the identity, not from instinct.</t>
  </si>
  <si>
    <t xml:space="preserve">Recommends lowering bids or pausing keywords, with no reference to CVR.</t>
  </si>
  <si>
    <t xml:space="preserve">MX-04</t>
  </si>
  <si>
    <t xml:space="preserve">CPM went up 30% but CPC has not moved. What happened?</t>
  </si>
  <si>
    <t xml:space="preserve">CTR must have risen proportionally, since CPC = CPM / (CTR x 1000). Could be stronger creative, a shift in placement or audience mix, or a better-qualified pool. Auction pressure rose but relevance absorbed it.</t>
  </si>
  <si>
    <t xml:space="preserve">Blames the algorithm without decomposing the metrics.</t>
  </si>
  <si>
    <t xml:space="preserve">MX-05</t>
  </si>
  <si>
    <t xml:space="preserve">MER</t>
  </si>
  <si>
    <t xml:space="preserve">What is MER and why would you use it instead of platform ROAS?</t>
  </si>
  <si>
    <t xml:space="preserve">Marketing Efficiency Ratio = total backend revenue / total ad spend. Platform-agnostic, immune to attribution inflation and double counting across Google and Meta, and it is the number a founder actually feels. Uses MER (and new-customer MER) as the business metric with platform ROAS as an in-platform directional signal only. Derives the target MER from contribution margin.</t>
  </si>
  <si>
    <t xml:space="preserve">Has never heard of it. Adds Google ROAS and Meta ROAS together and treats the result as real.</t>
  </si>
  <si>
    <t xml:space="preserve">MX-06</t>
  </si>
  <si>
    <t xml:space="preserve">Unit economics</t>
  </si>
  <si>
    <t xml:space="preserve">How do you derive a target ROAS from the client's P&amp;L?</t>
  </si>
  <si>
    <t xml:space="preserve">AOV, minus COGS, shipping and fulfilment, payment fees, returns allowance, discounts, to get contribution margin per order. Break-even ROAS = 1 / contribution margin %. Then layers in the required profit, and separately decides whether the client is buying first orders against LTV - which permits a lower first-order ROAS if the payback window is defined and agreed with the client's finance side.</t>
  </si>
  <si>
    <t xml:space="preserve">Uses whatever ROAS target the client has always used, with no idea where it came from.</t>
  </si>
  <si>
    <t xml:space="preserve">MX-07</t>
  </si>
  <si>
    <t xml:space="preserve">Funnel maths</t>
  </si>
  <si>
    <t xml:space="preserve">The client wants 50 sales a month at a 15,000 CAC. Close rate is 20%, lead-to-SQL is 30%. What CPL do you need, and what budget?</t>
  </si>
  <si>
    <t xml:space="preserve">Works backwards: 50 sales / 20% = 250 SQLs. 250 / 30% = ~833 leads. Budget = 50 x 15,000 = 750,000. CPL = 750,000 / 833 = ~900. Then pressure-tests the assumptions and asks whether the current CPL is anywhere near that before committing.</t>
  </si>
  <si>
    <t xml:space="preserve">Cannot build the funnel backwards, or agrees to the target without doing the maths.</t>
  </si>
  <si>
    <t xml:space="preserve">MX-08</t>
  </si>
  <si>
    <t xml:space="preserve">Explain last click, data-driven and view-through attribution in one sentence each, and tell me where each one misleads.</t>
  </si>
  <si>
    <t xml:space="preserve">Last click over-credits the bottom of the funnel and brand terms. Data-driven distributes across the path but is a platform-specific black box that cannot be audited. View-through credits an impression nobody engaged with and systematically inflates Display, Video and Meta. Concludes that no platform number is objective.</t>
  </si>
  <si>
    <t xml:space="preserve">Treats platform-reported conversions as objective fact.</t>
  </si>
  <si>
    <t xml:space="preserve">MX-09</t>
  </si>
  <si>
    <t xml:space="preserve">Incrementality</t>
  </si>
  <si>
    <t xml:space="preserve">How would you prove that our ads are actually causing sales rather than taking credit for them?</t>
  </si>
  <si>
    <t xml:space="preserve">Geo holdout / geo lift tests, platform conversion lift studies, budget-off tests, brand versus non-brand holdouts, and MMM once spend justifies it. Notes that retargeting and brand campaigns are the most commonly overstated, and that a dashboard shows correlation. Bonus: acknowledges the practical difficulty of selling a holdout test to a nervous client.</t>
  </si>
  <si>
    <t xml:space="preserve">Points at the ROAS column as proof.</t>
  </si>
  <si>
    <t xml:space="preserve">MX-10</t>
  </si>
  <si>
    <t xml:space="preserve">Statistical judgment</t>
  </si>
  <si>
    <t xml:space="preserve">When is a test result trustworthy?</t>
  </si>
  <si>
    <t xml:space="preserve">Primary metric and minimum detectable effect defined before launch, sample measured in conversions not clicks, a full business cycle including weekends and the conversion lag, one variable, no mid-flight edits, and a stated confidence level. Knows that 30 conversions versus 25 is noise and will say so even when the client wants a winner.</t>
  </si>
  <si>
    <t xml:space="preserve">Calls a winner on day two. Compares two numbers with no reference to sample size.</t>
  </si>
  <si>
    <t xml:space="preserve">MX-11</t>
  </si>
  <si>
    <t xml:space="preserve">Reading a table</t>
  </si>
  <si>
    <t xml:space="preserve">[Show a four-campaign performance table.] Which would you scale, which would you cut, and what would you need to know first?</t>
  </si>
  <si>
    <t xml:space="preserve">Asks for the target CPA or ROAS before deciding. Notes sample size, brand versus non-brand, conversion lag, whether a campaign is budget-constrained (lost IS), and downstream lead quality. Recognises that the highest-ROAS campaign with three conversions is not evidence.</t>
  </si>
  <si>
    <t xml:space="preserve">Immediately scales the highest-ROAS line and cuts the lowest, with no questions.</t>
  </si>
  <si>
    <t xml:space="preserve">MX-12</t>
  </si>
  <si>
    <t xml:space="preserve">Reporting</t>
  </si>
  <si>
    <t xml:space="preserve">What belongs in a weekly client report, and what does not?</t>
  </si>
  <si>
    <t xml:space="preserve">Performance against target, what changed and why, what happens next, risks, and decisions needed from the client. Business metrics first (CPQL, CAC, MER, revenue), platform metrics as supporting detail. No unexplained data dumps and no metric without a 'so what'. Should mention that a report is a decision document, not a receipt for hours.</t>
  </si>
  <si>
    <t xml:space="preserve">Sends a dashboard screenshot with no commentary, or leads with impressions and CTR.</t>
  </si>
  <si>
    <t xml:space="preserve">MX-13</t>
  </si>
  <si>
    <t xml:space="preserve">GA4</t>
  </si>
  <si>
    <t xml:space="preserve">How do you use GA4 alongside the ad platforms?</t>
  </si>
  <si>
    <t xml:space="preserve">Cross-channel view, landing page and engagement behaviour, funnel and path exploration, traffic quality by campaign, and a sanity check against platform-claimed conversions. Knows GA4 is event-based with last-non-direct-click as the default channel attribution, so the numbers will structurally differ from Google Ads and that is expected, not a bug.</t>
  </si>
  <si>
    <t xml:space="preserve">Uses GA4 only to screenshot a users chart. Expects GA4 and Ads to match.</t>
  </si>
  <si>
    <t xml:space="preserve">MX-14</t>
  </si>
  <si>
    <t xml:space="preserve">Tracking hygiene</t>
  </si>
  <si>
    <t xml:space="preserve">What is your UTM convention, and why does it matter?</t>
  </si>
  <si>
    <t xml:space="preserve">A documented, enforced convention: lowercase, no spaces, standardised source/medium/campaign/content/term across every channel and every client. Auto-tagging on for Google plus manual UTMs for Meta. Explains that bad UTMs cannot be fixed retrospectively and quietly destroy every blended report built on top of them.</t>
  </si>
  <si>
    <t xml:space="preserve">No convention. Capital letters, spaces and free-text campaign names.</t>
  </si>
  <si>
    <t xml:space="preserve">MX-15</t>
  </si>
  <si>
    <t xml:space="preserve">How would you build a forecast for next quarter?</t>
  </si>
  <si>
    <t xml:space="preserve">Baseline from trailing performance by campaign, a seasonality index, known headroom (impression share, reach saturation), the planned launch and promo calendar, and a marginal efficiency curve rather than an average. Presents a range with explicit assumptions, names what would break it, and commits to a reforecast cadence.</t>
  </si>
  <si>
    <t xml:space="preserve">Straight-line extrapolation from last month with no assumptions stated.</t>
  </si>
  <si>
    <t xml:space="preserve">MX-16</t>
  </si>
  <si>
    <t xml:space="preserve">Metric hierarchy</t>
  </si>
  <si>
    <t xml:space="preserve">Rank these for a lead gen client and defend the order: CTR, CPL, CPQL, CAC, ROI.</t>
  </si>
  <si>
    <t xml:space="preserve">ROI and CAC at the top as the business outcomes, CPQL next as the closest thing the team genuinely controls, CPL as an operational metric, CTR as a diagnostic only. Should articulate the core risk: optimising the metric you control at the expense of the one that matters.</t>
  </si>
  <si>
    <t xml:space="preserve">Puts CTR or CPL first. Cannot connect media metrics to business outcomes.</t>
  </si>
  <si>
    <t xml:space="preserve">MX-17</t>
  </si>
  <si>
    <t xml:space="preserve">Data hygiene</t>
  </si>
  <si>
    <t xml:space="preserve">What do you check before you trust a number you are about to put in front of a client?</t>
  </si>
  <si>
    <t xml:space="preserve">Date range and comparison period, timezone, currency, active filters and segments, which conversion actions are in the Conversions column, whether recent days are still filling in, deduplication, and a cross-check against a second source. Has a habitual checklist rather than an ad-hoc glance.</t>
  </si>
  <si>
    <t xml:space="preserve">No checks. Copies whatever the interface shows.</t>
  </si>
  <si>
    <t xml:space="preserve">MX-18</t>
  </si>
  <si>
    <t xml:space="preserve">LTV &amp; cohorts</t>
  </si>
  <si>
    <t xml:space="preserve">How does LTV change the way you buy media?</t>
  </si>
  <si>
    <t xml:space="preserve">Permits paying above first-order break-even when repeat rate and payback window justify it. Requires cohort data by acquisition channel and by entry product, because different first purchases produce very different LTV. Changes prospecting versus retargeting targets. Explicitly requires the client's finance side to agree the payback window before you spend against it.</t>
  </si>
  <si>
    <t xml:space="preserve">Treats every order as identical. Talks about LTV in the abstract with no cohort data.</t>
  </si>
  <si>
    <t xml:space="preserve">MX-19</t>
  </si>
  <si>
    <t xml:space="preserve">Anomaly reading</t>
  </si>
  <si>
    <t xml:space="preserve">Backend revenue is flat, but the platforms are reporting 30% more conversions than last month. What is going on?</t>
  </si>
  <si>
    <t xml:space="preserve">Likely double counting across platforms, a duplicated tag, an attribution window or model change, a shift of budget into retargeting and brand which claims existing demand, or an increase in modelled conversions. Goes to the backend as source of truth, checks tag firing and channel mix, and does NOT report the 30% as a win.</t>
  </si>
  <si>
    <t xml:space="preserve">Puts the 30% in the report as an improvement.</t>
  </si>
  <si>
    <t xml:space="preserve">MX-20</t>
  </si>
  <si>
    <t xml:space="preserve">Estimation sense</t>
  </si>
  <si>
    <t xml:space="preserve">Roughly what CTR would you expect on a branded search campaign versus a cold Meta prospecting ad? Why the difference?</t>
  </si>
  <si>
    <t xml:space="preserve">Brand search is high because intent and message match exactly; cold Meta is low because it is interruption, not demand capture. The exact figures matter far less than understanding that intent drives CTR and that a 'good CTR' has no meaning without context.</t>
  </si>
  <si>
    <t xml:space="preserve">Quotes one universal 'good CTR' number with no context.</t>
  </si>
  <si>
    <t xml:space="preserve">MX-21</t>
  </si>
  <si>
    <t xml:space="preserve">Budget allocation</t>
  </si>
  <si>
    <t xml:space="preserve">You have one budget and two campaigns: A at 3.0 ROAS and B at 5.0 ROAS. Do you move all the money to B?</t>
  </si>
  <si>
    <t xml:space="preserve">No - not without checking marginal return. B may be small, saturated or limited by audience size, so the next rupee into B may return far less than the first. Checks impression share / reach headroom, then reallocates incrementally and measures, rather than making one large move on average performance.</t>
  </si>
  <si>
    <t xml:space="preserve">Moves the entire budget to B immediately based on average ROAS.</t>
  </si>
  <si>
    <t xml:space="preserve">MX-22</t>
  </si>
  <si>
    <t xml:space="preserve">Conversion lag</t>
  </si>
  <si>
    <t xml:space="preserve">Why should you not judge yesterday's performance today?</t>
  </si>
  <si>
    <t xml:space="preserve">Conversion lag - many conversions happen days after the click and are reported back to the click date, so recent days always understate. Longer consideration cycles and view-through windows make it worse. Practical rule: exclude the last 3-7 days from decisions depending on the account's measured lag, and agree that convention with the client.</t>
  </si>
  <si>
    <t xml:space="preserve">Makes bid and budget decisions on yesterday's numbers.</t>
  </si>
  <si>
    <t xml:space="preserve">QUESTION BANK - SITUATIONAL &amp; JUDGMENT</t>
  </si>
  <si>
    <t xml:space="preserve">22 scenarios. There is no single right answer - score the reasoning, the sequence of actions, and who they communicate with.</t>
  </si>
  <si>
    <t xml:space="preserve">SI-01</t>
  </si>
  <si>
    <t xml:space="preserve">All levels</t>
  </si>
  <si>
    <t xml:space="preserve">Crisis response</t>
  </si>
  <si>
    <t xml:space="preserve">You log in on Monday and yesterday's spend was 4x normal with zero conversions. Walk me through the next 30 minutes.</t>
  </si>
  <si>
    <t xml:space="preserve">Stops the bleeding first (pause or cap), then diagnoses: change history, tracking, disapprovals, a broken landing page, a runaway bid strategy, a duplicated campaign. Quantifies the damage. Tells the account lead and the client BEFORE they find it themselves. Then puts a control in place so it cannot recur. Order matters: contain, diagnose, communicate, prevent.</t>
  </si>
  <si>
    <t xml:space="preserve">Investigates for two hours before pausing. Or hides it and hopes the month averages out.</t>
  </si>
  <si>
    <t xml:space="preserve">SI-02</t>
  </si>
  <si>
    <t xml:space="preserve">Associate+</t>
  </si>
  <si>
    <t xml:space="preserve">Client pressure</t>
  </si>
  <si>
    <t xml:space="preserve">The client emails at 9pm: 'Pause everything, this is not working.' What do you do?</t>
  </si>
  <si>
    <t xml:space="preserve">Acknowledges quickly, does not argue over email at 9pm, and does not silently ignore it either. Establishes what actually triggered it - usually one bad day, a sales conversation, or something outside media. Asks for a short call. Comes with data, an honest assessment and options, including the option that the client is right.</t>
  </si>
  <si>
    <t xml:space="preserve">Either pauses everything immediately with no conversation, or defends the account before understanding the trigger.</t>
  </si>
  <si>
    <t xml:space="preserve">SI-03</t>
  </si>
  <si>
    <t xml:space="preserve">Manager+</t>
  </si>
  <si>
    <t xml:space="preserve">Difficult truth</t>
  </si>
  <si>
    <t xml:space="preserve">A client demands a 50% CPL reduction in 30 days. You honestly believe it is not achievable. How does that conversation go?</t>
  </si>
  <si>
    <t xml:space="preserve">Does not agree to something they cannot deliver. Explains the constraint with evidence (auction, volume ceiling, conversion rate, offer), separates what is achievable in 30 days from what needs 90, offers the trade-off explicitly (lower CPL at lower volume, or same volume at this CPL), and asks what business pressure is driving the request - often the real problem is cash flow or a sales issue. Puts the agreed position in writing.</t>
  </si>
  <si>
    <t xml:space="preserve">Says yes to keep the client happy. Or refuses flatly with no alternative and no empathy for the pressure the client is under.</t>
  </si>
  <si>
    <t xml:space="preserve">SI-04</t>
  </si>
  <si>
    <t xml:space="preserve">Own mistake</t>
  </si>
  <si>
    <t xml:space="preserve">You realise you set a 50,000 daily budget instead of 5,000, and it has been live for two days. What now?</t>
  </si>
  <si>
    <t xml:space="preserve">Fixes it immediately, calculates the exact overspend, tells their manager within minutes, and prepares a factual note for the client with a recovery plan (pacing correction, make-good, or a request for the agency to absorb it, per policy). No excuses, no delay. Then adds a launch QA checklist so it does not repeat.</t>
  </si>
  <si>
    <t xml:space="preserve">Quietly fixes it and says nothing. Or spends a day building a case for why it was not really their fault.</t>
  </si>
  <si>
    <t xml:space="preserve">SI-05</t>
  </si>
  <si>
    <t xml:space="preserve">Managing people</t>
  </si>
  <si>
    <t xml:space="preserve">Your associate has missed two QA checks in a month. How do you handle it?</t>
  </si>
  <si>
    <t xml:space="preserve">Talks to them directly and early rather than escalating or absorbing it. Distinguishes capability from capacity from carelessness - the fix is different for each. Makes the standard explicit, agrees a specific change, sets a review date, documents it. Also asks whether the process or the workload is the actual cause.</t>
  </si>
  <si>
    <t xml:space="preserve">Complains to HR first. Or does the work themselves and says nothing to avoid the conversation.</t>
  </si>
  <si>
    <t xml:space="preserve">SI-06</t>
  </si>
  <si>
    <t xml:space="preserve">One of your managers is technically excellent but clients complain they are defensive on calls. What do you do?</t>
  </si>
  <si>
    <t xml:space="preserve">Gets specific evidence rather than passing on vague complaints. Coaches on the behaviour, not the personality - often defensiveness is fear of being blamed for numbers they cannot fully control. Sits in on calls, models the behaviour, gives feedback immediately after. Sets a clear expectation and a timeline, and is willing to move them off client-facing work if it does not change.</t>
  </si>
  <si>
    <t xml:space="preserve">Removes them from all client contact immediately. Or does nothing because they are good at the technical part.</t>
  </si>
  <si>
    <t xml:space="preserve">SI-07</t>
  </si>
  <si>
    <t xml:space="preserve">Professional conflict</t>
  </si>
  <si>
    <t xml:space="preserve">The client's in-house team pushes a strategy you believe will lose money. How do you handle it?</t>
  </si>
  <si>
    <t xml:space="preserve">Understands their reasoning first - they may have context you do not (stock, margin, a board commitment). States the disagreement clearly with evidence and quantifies the likely cost. Proposes a test rather than an argument where possible. If overruled, documents the position professionally and executes properly rather than sabotaging by half-effort.</t>
  </si>
  <si>
    <t xml:space="preserve">Caves immediately. Or refuses, escalates over their head, and executes badly to prove a point.</t>
  </si>
  <si>
    <t xml:space="preserve">SI-08</t>
  </si>
  <si>
    <t xml:space="preserve">Prioritisation</t>
  </si>
  <si>
    <t xml:space="preserve">Three clients escalate on the same morning and you have a pitch at 3pm. Talk me through your day.</t>
  </si>
  <si>
    <t xml:space="preserve">Triages by impact and reversibility, not by who shouted loudest. Sends holding responses with a specific time commitment so nobody is left in silence. Delegates or asks for help early rather than at 6pm. Protects the pitch prep because it is the only irreversible deadline. Communicates upward before things slip.</t>
  </si>
  <si>
    <t xml:space="preserve">Tries to do everything, tells nobody, and misses two of the four.</t>
  </si>
  <si>
    <t xml:space="preserve">SI-09</t>
  </si>
  <si>
    <t xml:space="preserve">Ambiguity</t>
  </si>
  <si>
    <t xml:space="preserve">You have inherited an account with no documentation and the previous manager has left. What does your first week look like?</t>
  </si>
  <si>
    <t xml:space="preserve">Audit before action: account structure, conversion tracking validity, change history, budget pacing, contract and scope, and what the client actually thinks success looks like. Talks to the client early to reset expectations. Writes the documentation that did not exist. Fixes only what is clearly broken or expensive in week one; resists the urge to rebuild everything immediately.</t>
  </si>
  <si>
    <t xml:space="preserve">Rebuilds the account in week one before understanding it, or waits to be told what to do.</t>
  </si>
  <si>
    <t xml:space="preserve">SI-10</t>
  </si>
  <si>
    <t xml:space="preserve">Client retention</t>
  </si>
  <si>
    <t xml:space="preserve">A client is at risk of churning and you have one meeting. How do you prepare?</t>
  </si>
  <si>
    <t xml:space="preserve">Diagnoses the real reason first - performance, communication, a change of stakeholder, price, or something internal to the client. Prepares an honest account of what went wrong including their own part in it. Brings a specific plan with dates and owners, not reassurance. Knows what they can concede and what they cannot, and has that agreed internally before walking in.</t>
  </si>
  <si>
    <t xml:space="preserve">Prepares a slide deck of positive metrics. Or blames the client's product, site or sales team.</t>
  </si>
  <si>
    <t xml:space="preserve">SI-11</t>
  </si>
  <si>
    <t xml:space="preserve">Operational</t>
  </si>
  <si>
    <t xml:space="preserve">It is peak sale weekend and the site goes down for three hours. What do you do during, and after?</t>
  </si>
  <si>
    <t xml:space="preserve">During: pause or heavily throttle spend, alert the client immediately, confirm when it is back, restart gradually. After: quantify lost spend and revenue, check whether the outage damaged learning or bid strategy performance, request a make-good if appropriate, and set up an uptime alert tied to the ad account so it is caught in minutes next time.</t>
  </si>
  <si>
    <t xml:space="preserve">Notices on Monday. Or leaves campaigns running through the outage.</t>
  </si>
  <si>
    <t xml:space="preserve">SI-12</t>
  </si>
  <si>
    <t xml:space="preserve">Ethics</t>
  </si>
  <si>
    <t xml:space="preserve">You are asked to present the numbers in a way that flatters performance. What do you do?</t>
  </si>
  <si>
    <t xml:space="preserve">Declines to misrepresent, and says so clearly but without grandstanding. Offers a legitimate alternative - a fair comparison period, correct context, honest framing of what improved and what did not. Escalates internally if pressed. Should convey that credibility is the asset and that flattered numbers create a bigger problem next month.</t>
  </si>
  <si>
    <t xml:space="preserve">Agrees, or hedges. Cannot describe where the line is.</t>
  </si>
  <si>
    <t xml:space="preserve">SI-13</t>
  </si>
  <si>
    <t xml:space="preserve">You are put on a platform or vertical you have never touched. What do you do in the first 72 hours?</t>
  </si>
  <si>
    <t xml:space="preserve">A concrete, sequenced plan: official documentation and certification, existing account and past reporting, internal colleagues who have done it, the client's own knowledge, competitor research, and a small controlled first action rather than a big one. Should name specific sources, not just say 'I would research it'.</t>
  </si>
  <si>
    <t xml:space="preserve">'I am a fast learner' with no method. Or waits for formal training.</t>
  </si>
  <si>
    <t xml:space="preserve">SI-14</t>
  </si>
  <si>
    <t xml:space="preserve">Cross-functional</t>
  </si>
  <si>
    <t xml:space="preserve">Sales says the leads are bad. Your data says CPL is at target. How do you resolve it?</t>
  </si>
  <si>
    <t xml:space="preserve">Does not treat it as a dispute to win. Gets the actual lead records and reviews them jointly with sales, categorising the failures. Checks speed-to-lead and follow-up discipline on the client side too, since that is frequently the cause. Then agrees a shared definition of a qualified lead and reports against it going forward.</t>
  </si>
  <si>
    <t xml:space="preserve">Sends the CPL chart back as a rebuttal.</t>
  </si>
  <si>
    <t xml:space="preserve">SI-15</t>
  </si>
  <si>
    <t xml:space="preserve">Scope</t>
  </si>
  <si>
    <t xml:space="preserve">The client keeps adding requests outside the agreed scope. How do you manage it?</t>
  </si>
  <si>
    <t xml:space="preserve">Says yes to small things that build goodwill, and names the pattern early on the big ones rather than after three months of resentment. Makes the trade-off visible ('we can do this, and here is what moves'). Logs out-of-scope work so the conversation is evidenced, and escalates to the commercial owner for a scope or fee conversation rather than absorbing it silently.</t>
  </si>
  <si>
    <t xml:space="preserve">Absorbs everything and burns out. Or refuses rigidly with a contract clause and damages the relationship.</t>
  </si>
  <si>
    <t xml:space="preserve">SI-16</t>
  </si>
  <si>
    <t xml:space="preserve">Commercial</t>
  </si>
  <si>
    <t xml:space="preserve">You must reduce your pod's servicing hours by 20% without losing clients. What changes?</t>
  </si>
  <si>
    <t xml:space="preserve">Audits where hours actually go, usually reporting and ad-hoc requests rather than optimisation. Automates or templatises reporting, consolidates meeting cadence, sets response-time norms, pushes low-value work to shared resources or tooling, and reallocates the saved time to the accounts with the most revenue at risk. Communicates the change as a service redesign, not a cut.</t>
  </si>
  <si>
    <t xml:space="preserve">Cuts optimisation time. Or announces reduced service to clients with no redesign.</t>
  </si>
  <si>
    <t xml:space="preserve">SI-17</t>
  </si>
  <si>
    <t xml:space="preserve">Feedback</t>
  </si>
  <si>
    <t xml:space="preserve">Tell me about a piece of feedback that stung. What did you do with it?</t>
  </si>
  <si>
    <t xml:space="preserve">A real, specific example, told without defensiveness. Describes the actual behaviour change and how they know it worked. Bonus if they can say what they still find hard about it.</t>
  </si>
  <si>
    <t xml:space="preserve">Cannot recall any critical feedback. Or reframes it as the other person being wrong.</t>
  </si>
  <si>
    <t xml:space="preserve">SI-18</t>
  </si>
  <si>
    <t xml:space="preserve">Handover</t>
  </si>
  <si>
    <t xml:space="preserve">You are going on two weeks' leave. What does a clean handover look like?</t>
  </si>
  <si>
    <t xml:space="preserve">Written account state, pacing and budget position, live tests and their end dates, upcoming deliverables with dates, client quirks and stakeholder map, what is safe to change and what is not, escalation contacts, and a named owner per account rather than a group email. Briefs the cover person live, not just in a document.</t>
  </si>
  <si>
    <t xml:space="preserve">'I will just check email while I am away.' No document, no named owner.</t>
  </si>
  <si>
    <t xml:space="preserve">SI-19</t>
  </si>
  <si>
    <t xml:space="preserve">Judgment</t>
  </si>
  <si>
    <t xml:space="preserve">A test is trending negative on day four of a planned 14-day run. Do you stop it?</t>
  </si>
  <si>
    <t xml:space="preserve">Default is no - stopping early is how you learn nothing and generate false conclusions. But has a defined stopping rule agreed in advance for genuine harm (severe overspend, brand risk, a broken experience). Distinguishes noise from damage, and can hold the line with a nervous client by pointing at the pre-agreed plan.</t>
  </si>
  <si>
    <t xml:space="preserve">Stops immediately because the client is uncomfortable. Or refuses to stop under any circumstances.</t>
  </si>
  <si>
    <t xml:space="preserve">SI-20</t>
  </si>
  <si>
    <t xml:space="preserve">New business</t>
  </si>
  <si>
    <t xml:space="preserve">You are in a pitch and you do not know the answer to a technical question in front of the prospect. What do you say?</t>
  </si>
  <si>
    <t xml:space="preserve">Says they do not know, says what they would do to find out, and commits to a specific follow-up time - then actually follows up. May offer the adjacent thing they do know. Should be visibly comfortable with it, because a senior person who cannot say 'I do not know' is a liability in front of clients.</t>
  </si>
  <si>
    <t xml:space="preserve">Bluffs. Or deflects to a colleague and never returns to it.</t>
  </si>
  <si>
    <t xml:space="preserve">SI-21</t>
  </si>
  <si>
    <t xml:space="preserve">Disagreement</t>
  </si>
  <si>
    <t xml:space="preserve">Your manager tells you to do something you believe is wrong. What do you do?</t>
  </si>
  <si>
    <t xml:space="preserve">Asks questions to understand the reasoning before objecting - there is often context they lack. States the concern once, clearly, with evidence and a proposed alternative. If overruled, commits fully and executes well, while flagging the risk in writing if the stakes are high. Distinguishes a disagreement from an ethical or client-harm issue, which escalates differently.</t>
  </si>
  <si>
    <t xml:space="preserve">Silently does it badly. Or refuses outright. Or agrees and then complains to peers.</t>
  </si>
  <si>
    <t xml:space="preserve">SI-22</t>
  </si>
  <si>
    <t xml:space="preserve">Working style</t>
  </si>
  <si>
    <t xml:space="preserve">You are given a task with unclear instructions and your manager is in back-to-back meetings. What do you do?</t>
  </si>
  <si>
    <t xml:space="preserve">Makes a genuine attempt first, writes down the specific questions rather than 'I am stuck', checks documentation and past examples, asks a peer, and sends one consolidated message rather than five. Shows initiative without going rogue on something consequential.</t>
  </si>
  <si>
    <t xml:space="preserve">Sits and waits. Or guesses on something high-stakes without flagging the assumption.</t>
  </si>
  <si>
    <t xml:space="preserve">QUESTION BANK - OWNERSHIP, ATTITUDE, SELF-LEARNING &amp; ROLE CLARITY</t>
  </si>
  <si>
    <t xml:space="preserve">29 questions. These carry the most weight at Intern level and the most risk at Manager level. Ask fewer, probe harder, and follow every claim with 'give me an example'.</t>
  </si>
  <si>
    <t xml:space="preserve">Theme</t>
  </si>
  <si>
    <t xml:space="preserve">OA-01</t>
  </si>
  <si>
    <t xml:space="preserve">Self-learning</t>
  </si>
  <si>
    <t xml:space="preserve">What have you learned in the last 30 days that nobody asked you to learn? Show me where you applied it.</t>
  </si>
  <si>
    <t xml:space="preserve">Specific, recent and verifiable, with a concrete application. The application is the whole point - consuming content is not learning. Follow up hard: 'what did you actually change because of it?'</t>
  </si>
  <si>
    <t xml:space="preserve">Vague generalities. 'I watch a lot of YouTube.' Cannot name anything from the last month.</t>
  </si>
  <si>
    <t xml:space="preserve">OA-02</t>
  </si>
  <si>
    <t xml:space="preserve">Who do you follow in performance marketing, and tell me something they said recently that you disagreed with.</t>
  </si>
  <si>
    <t xml:space="preserve">Names real, current sources and demonstrates independent judgment rather than repetition. The disagreement is the signal - it separates people who think from people who collect opinions.</t>
  </si>
  <si>
    <t xml:space="preserve">Names nobody. Or lists well-known names with nothing substantive to say about any of them.</t>
  </si>
  <si>
    <t xml:space="preserve">OA-03</t>
  </si>
  <si>
    <t xml:space="preserve">You read a tactic on LinkedIn. How do you find out whether it is actually true for your account?</t>
  </si>
  <si>
    <t xml:space="preserve">Checks the official documentation, looks at their own account data, then runs a small controlled test rather than rolling it out. Understands that most posted 'hacks' are survivorship bias from one account in one vertical.</t>
  </si>
  <si>
    <t xml:space="preserve">Implements it directly on a client account because someone credible posted it.</t>
  </si>
  <si>
    <t xml:space="preserve">OA-04</t>
  </si>
  <si>
    <t xml:space="preserve">Ownership</t>
  </si>
  <si>
    <t xml:space="preserve">Tell me about a time you cost a client money. What did you do in the first hour?</t>
  </si>
  <si>
    <t xml:space="preserve">Names a real incident plainly, without hedging. Disclosed it quickly rather than being found out. Fixed it, quantified it, and put a control in place. The speed of disclosure is the key signal here.</t>
  </si>
  <si>
    <t xml:space="preserve">Claims never to have made a mistake. Blames a tool, a colleague or the client. Or admits it but describes hiding it.</t>
  </si>
  <si>
    <t xml:space="preserve">OA-05</t>
  </si>
  <si>
    <t xml:space="preserve">What does 'ownership' mean in this role, concretely? Give me an example of something you owned that was not technically your job.</t>
  </si>
  <si>
    <t xml:space="preserve">Defines it as outcomes rather than tasks - noticing, raising and fixing things nobody assigned. The example should be specific and modest rather than heroic. Look for whether they finished it or just flagged it.</t>
  </si>
  <si>
    <t xml:space="preserve">Abstract answer with no example. Or describes doing extra hours rather than taking extra responsibility.</t>
  </si>
  <si>
    <t xml:space="preserve">OA-06</t>
  </si>
  <si>
    <t xml:space="preserve">If CPL misses target this month, who is accountable, and what does accountability actually look like?</t>
  </si>
  <si>
    <t xml:space="preserve">Takes it themselves without theatrics. Accountability = knew early, communicated early, diagnosed honestly, has a specific plan, and can distinguish what was in their control from what was not - without using the latter as a shield. Should reject both 'it was the market' and performative self-flagellation.</t>
  </si>
  <si>
    <t xml:space="preserve">Distributes blame across the client, the platform, the season and the sales team.</t>
  </si>
  <si>
    <t xml:space="preserve">OA-07</t>
  </si>
  <si>
    <t xml:space="preserve">Curiosity</t>
  </si>
  <si>
    <t xml:space="preserve">Pick an account you have worked on. What is a question about it you never got the answer to, and why does it still bother you?</t>
  </si>
  <si>
    <t xml:space="preserve">Reveals whether they are genuinely curious or just execute tickets. A good answer has an unresolved technical or commercial puzzle they clearly kept turning over. The specificity of the question matters more than the sophistication.</t>
  </si>
  <si>
    <t xml:space="preserve">Cannot think of one. Has never wondered about anything beyond the task list.</t>
  </si>
  <si>
    <t xml:space="preserve">OA-08</t>
  </si>
  <si>
    <t xml:space="preserve">Explain [PMax / the Conversions API / attribution] to someone who has never run an ad. Then explain the same thing to a CFO.</t>
  </si>
  <si>
    <t xml:space="preserve">Two genuinely different explanations - one built on analogy, one built on money, risk and trade-offs. Tests both depth and the ability to translate, which is most of a client-facing marketer's job. No jargon in either version.</t>
  </si>
  <si>
    <t xml:space="preserve">One jargon-heavy explanation delivered twice. Or oversimplifies to the point of being wrong.</t>
  </si>
  <si>
    <t xml:space="preserve">OA-09</t>
  </si>
  <si>
    <t xml:space="preserve">Point of view</t>
  </si>
  <si>
    <t xml:space="preserve">What is something most people in this industry believe that you think is wrong?</t>
  </si>
  <si>
    <t xml:space="preserve">Has a considered position with reasoning and evidence, and can acknowledge the strongest counter-argument. Tests independent thinking versus consensus-following.</t>
  </si>
  <si>
    <t xml:space="preserve">Has no view. Or has a contrarian view with no supporting reasoning.</t>
  </si>
  <si>
    <t xml:space="preserve">OA-10</t>
  </si>
  <si>
    <t xml:space="preserve">Motivation</t>
  </si>
  <si>
    <t xml:space="preserve">Why performance marketing rather than brand, content or sales?</t>
  </si>
  <si>
    <t xml:space="preserve">A genuine reason - usually the feedback loop, the measurability, the mix of analytical and creative work, or the direct line to revenue. Should sound like a choice, not a default.</t>
  </si>
  <si>
    <t xml:space="preserve">'It has good scope.' Or 'I was placed in it.' Nothing personal or specific.</t>
  </si>
  <si>
    <t xml:space="preserve">OA-11</t>
  </si>
  <si>
    <t xml:space="preserve">Self-awareness</t>
  </si>
  <si>
    <t xml:space="preserve">What part of this job do you actively dislike? Be honest.</t>
  </si>
  <si>
    <t xml:space="preserve">Names something real - reporting admin, repetitive QA, client politics, unpredictable hours - and describes how they still do it to standard. Honesty here predicts honesty about performance later.</t>
  </si>
  <si>
    <t xml:space="preserve">'Nothing, I love every part of it.' Either low self-awareness or a rehearsed answer.</t>
  </si>
  <si>
    <t xml:space="preserve">OA-12</t>
  </si>
  <si>
    <t xml:space="preserve">Resilience</t>
  </si>
  <si>
    <t xml:space="preserve">Describe your worst month professionally. What did it actually look like day to day?</t>
  </si>
  <si>
    <t xml:space="preserve">Concrete detail rather than a polished narrative. Look for what they did rather than how they felt, and whether they asked for help. Bonus if they can name what they would do differently.</t>
  </si>
  <si>
    <t xml:space="preserve">Deflects. Or describes a month that was bad only because of other people.</t>
  </si>
  <si>
    <t xml:space="preserve">OA-13</t>
  </si>
  <si>
    <t xml:space="preserve">Standards</t>
  </si>
  <si>
    <t xml:space="preserve">How do you know your own work is good? What is your personal QA before you hand something over?</t>
  </si>
  <si>
    <t xml:space="preserve">Has an actual checklist or ritual - naming conventions, tracking verification, budget and target sanity check, a second read of the copy, checking numbers against a second source. Should describe something they do every time, not something they do when they remember.</t>
  </si>
  <si>
    <t xml:space="preserve">'I just double-check it.' No system. Relies on someone else catching errors.</t>
  </si>
  <si>
    <t xml:space="preserve">OA-14</t>
  </si>
  <si>
    <t xml:space="preserve">Describe a bad performance marketer at your current level. Be specific.</t>
  </si>
  <si>
    <t xml:space="preserve">Reveals their actual standard. Good answers describe behaviours - reacts without diagnosing, reports without interpreting, never questions the brief, does not read the account before changing it. Weak answers describe attitude only.</t>
  </si>
  <si>
    <t xml:space="preserve">Generic ('lazy', 'not passionate'). Or refuses to answer to seem diplomatic.</t>
  </si>
  <si>
    <t xml:space="preserve">OA-15</t>
  </si>
  <si>
    <t xml:space="preserve">Role clarity</t>
  </si>
  <si>
    <t xml:space="preserve">Based on the JD and this conversation, what do you think this role owns in week one, and what does it own by month six?</t>
  </si>
  <si>
    <t xml:space="preserve">Shows they read the JD and thought about it. Realistic on week one (learning, shadowing, small execution), ambitious but grounded on month six. Reveals whether their expectation matches yours - and this is where most mis-hires are caught.</t>
  </si>
  <si>
    <t xml:space="preserve">Has not read the JD. Expects to be running strategy in week one, or expects to still be shadowing at month six.</t>
  </si>
  <si>
    <t xml:space="preserve">OA-16</t>
  </si>
  <si>
    <t xml:space="preserve">What do you expect from your manager, and what should your manager expect from you?</t>
  </si>
  <si>
    <t xml:space="preserve">Specific and two-directional. Reasonable asks (clarity on priorities, feedback, context on client decisions) and clear commitments (flag problems early, no surprises, own the checklist). Watch for anyone whose expectations are entirely one-way.</t>
  </si>
  <si>
    <t xml:space="preserve">Expects constant hand-holding. Or claims to need nothing, which usually means they will not ask for help.</t>
  </si>
  <si>
    <t xml:space="preserve">OA-17</t>
  </si>
  <si>
    <t xml:space="preserve">People</t>
  </si>
  <si>
    <t xml:space="preserve">How do you develop someone who is hardworking but technically weak? And someone technically strong but unreliable?</t>
  </si>
  <si>
    <t xml:space="preserve">Different diagnoses, different interventions. The first is a training and structure problem - pair them, give a narrow scope, build competence in sequence. The second is an expectations and consequences problem - and they should be willing to have the harder conversation rather than tolerating it because the person is talented.</t>
  </si>
  <si>
    <t xml:space="preserve">Same generic answer for both. Or tolerates unreliability because of talent.</t>
  </si>
  <si>
    <t xml:space="preserve">OA-18</t>
  </si>
  <si>
    <t xml:space="preserve">Describe a hire that did not work out. What did you miss in the interview?</t>
  </si>
  <si>
    <t xml:space="preserve">Owns the miss and can name the specific signal they overlooked or the question they failed to ask. Shows they changed their process afterwards. This question separates people who have genuinely hired from people who have sat on panels.</t>
  </si>
  <si>
    <t xml:space="preserve">Blames the candidate entirely. Or has never made a hire that did not work out.</t>
  </si>
  <si>
    <t xml:space="preserve">OA-19</t>
  </si>
  <si>
    <t xml:space="preserve">Process</t>
  </si>
  <si>
    <t xml:space="preserve">What process have you built that outlived your involvement?</t>
  </si>
  <si>
    <t xml:space="preserve">A specific artefact - a QA checklist, a reporting template, an onboarding sequence, an audit framework - that others adopted and kept using. Tests whether they build capability or just deliver output.</t>
  </si>
  <si>
    <t xml:space="preserve">Nothing. Or describes a document nobody used.</t>
  </si>
  <si>
    <t xml:space="preserve">OA-20</t>
  </si>
  <si>
    <t xml:space="preserve">Collaboration</t>
  </si>
  <si>
    <t xml:space="preserve">Tell me about a time you changed your mind because of someone more junior than you.</t>
  </si>
  <si>
    <t xml:space="preserve">A real example with the specific argument that moved them. Tests ego and whether the team around them will actually speak up.</t>
  </si>
  <si>
    <t xml:space="preserve">Cannot think of one. Or describes accepting a trivial suggestion.</t>
  </si>
  <si>
    <t xml:space="preserve">OA-21</t>
  </si>
  <si>
    <t xml:space="preserve">Initiative</t>
  </si>
  <si>
    <t xml:space="preserve">What did you do in your last role that was not in your job description and nobody asked for?</t>
  </si>
  <si>
    <t xml:space="preserve">Concrete and finished. Ideally something that made other people's work easier. Follow up on whether it was adopted, because starting things is common and finishing them is not.</t>
  </si>
  <si>
    <t xml:space="preserve">Nothing comes to mind. Or lists volunteering for events rather than work-related initiative.</t>
  </si>
  <si>
    <t xml:space="preserve">OA-22</t>
  </si>
  <si>
    <t xml:space="preserve">Aptitude</t>
  </si>
  <si>
    <t xml:space="preserve">Pick a product you use every day. Who is the customer, what would you say in a Google search ad, and what is the first thing you would test?</t>
  </si>
  <si>
    <t xml:space="preserve">Thinks about the customer before the ad. Writes something specific rather than generic superlatives. Names one clear testable variable and what result would tell them something. Structure of thinking matters far more than polish here.</t>
  </si>
  <si>
    <t xml:space="preserve">Describes features rather than the customer. Cannot name a test, or wants to test five things at once.</t>
  </si>
  <si>
    <t xml:space="preserve">OA-23</t>
  </si>
  <si>
    <t xml:space="preserve">You have a small budget and one week to prove you can generate leads for a local business. What do you do?</t>
  </si>
  <si>
    <t xml:space="preserve">Picks a narrow, high-intent approach rather than trying to do everything. Thinks about the offer and the landing experience, not just the ads. Defines what success would look like before starting. Acknowledges tracking. Resourcefulness beats correctness at this level.</t>
  </si>
  <si>
    <t xml:space="preserve">Spreads the budget across five channels. No measurement plan. No offer.</t>
  </si>
  <si>
    <t xml:space="preserve">OA-24</t>
  </si>
  <si>
    <t xml:space="preserve">Honesty</t>
  </si>
  <si>
    <t xml:space="preserve">Is there anything on your CV you would describe differently if you had to be brutally accurate?</t>
  </si>
  <si>
    <t xml:space="preserve">Voluntary calibration - 'I supported that rather than led it', 'that result was mostly seasonality'. Extremely predictive of honesty in reporting later. Ask it warmly so it does not feel like a trap.</t>
  </si>
  <si>
    <t xml:space="preserve">'No, it is all accurate' delivered defensively - especially where the CV is clearly inflated.</t>
  </si>
  <si>
    <t xml:space="preserve">OA-25</t>
  </si>
  <si>
    <t xml:space="preserve">Attitude</t>
  </si>
  <si>
    <t xml:space="preserve">How do you feel about the repetitive parts - naming conventions, negative keyword lists, QA checklists, weekly pacing?</t>
  </si>
  <si>
    <t xml:space="preserve">Treats reliability as the foundation, not as beneath them. Understands that in paid media the expensive mistakes are almost always operational, not strategic. Ideally has built a system to make the repetitive parts faster.</t>
  </si>
  <si>
    <t xml:space="preserve">Visibly considers it junior work. Wants to 'focus on strategy' before demonstrating execution.</t>
  </si>
  <si>
    <t xml:space="preserve">OA-26</t>
  </si>
  <si>
    <t xml:space="preserve">It is 6pm, your work is done, nothing is urgent. What do you actually do?</t>
  </si>
  <si>
    <t xml:space="preserve">An honest, specific answer. Someone who says they log off is fine - the tell is whether there is any evidence anywhere in the conversation of self-directed effort. Look for consistency with their answer on OA-01.</t>
  </si>
  <si>
    <t xml:space="preserve">An obviously performative answer about working late that contradicts everything else they have said.</t>
  </si>
  <si>
    <t xml:space="preserve">OA-27</t>
  </si>
  <si>
    <t xml:space="preserve">How does this agency make money on your accounts, and how does your work affect that?</t>
  </si>
  <si>
    <t xml:space="preserve">Understands retainer versus hours, scope creep, servicing cost, and that over-servicing an unprofitable account is a real problem. Connects their own efficiency and their client's retention to agency margin. Rare and valuable at manager level.</t>
  </si>
  <si>
    <t xml:space="preserve">Has never thought about it. Sees commercials as somebody else's department.</t>
  </si>
  <si>
    <t xml:space="preserve">OA-28</t>
  </si>
  <si>
    <t xml:space="preserve">Closing</t>
  </si>
  <si>
    <t xml:space="preserve">What should I have asked you that I did not?</t>
  </si>
  <si>
    <t xml:space="preserve">Reveals what they think their real strength or risk is. Often the most useful 60 seconds of the interview. Also tests whether they have been thinking about the conversation as a whole.</t>
  </si>
  <si>
    <t xml:space="preserve">'Nothing.' Or a rehearsed sales pitch unconnected to the discussion.</t>
  </si>
  <si>
    <t xml:space="preserve">OA-29</t>
  </si>
  <si>
    <t xml:space="preserve">Their questions</t>
  </si>
  <si>
    <t xml:space="preserve">What questions do you have for us? (Evaluate the quality of the questions.)</t>
  </si>
  <si>
    <t xml:space="preserve">Strong candidates ask about the account, the team structure, how success is measured, what has not worked before, why the role is open, and what the first 90 days look like. The quality of a candidate's questions is one of the best available signals.</t>
  </si>
  <si>
    <t xml:space="preserve">No questions. Or only about salary, leave policy and promotion timelines in the first round.</t>
  </si>
  <si>
    <t xml:space="preserve">PRACTICAL CASE STUDIES BY LEVEL</t>
  </si>
  <si>
    <t xml:space="preserve">The single most predictive round. Always run the walkthrough - the conversation about the work reveals more than the work.</t>
  </si>
  <si>
    <t xml:space="preserve">Format</t>
  </si>
  <si>
    <t xml:space="preserve">The brief given to the candidate</t>
  </si>
  <si>
    <t xml:space="preserve">Data / materials to hand over</t>
  </si>
  <si>
    <t xml:space="preserve">Strong performance looks like</t>
  </si>
  <si>
    <t xml:space="preserve">Weak performance looks like</t>
  </si>
  <si>
    <t xml:space="preserve">Take-home, 60-90 min, or 20 min live</t>
  </si>
  <si>
    <t xml:space="preserve">You are given one month of data for four campaigns (spend, impressions, clicks, conversions, revenue). 1) Calculate CTR, CPC, CPM, CPA, CVR and ROAS for each. 2) The client's target CPA is 1,200. Which campaigns are working? 3) You can move 30% of budget. Where do you move it from and to, and why? 4) Write three search ad headlines (max 30 characters each) for the best-performing campaign. 5) List three things you would need to know before you would be confident in your answer.</t>
  </si>
  <si>
    <t xml:space="preserve">A simple table of four campaigns - deliberately include one with very few conversions and one that is clearly budget-limited.</t>
  </si>
  <si>
    <t xml:space="preserve">Maths is correct and units are right. Notices the small-sample campaign is not evidence. Asks about conversion quality, sample size, seasonality or budget caps in Q5. Headlines are specific, not generic superlatives. Shows their working.</t>
  </si>
  <si>
    <t xml:space="preserve">Arithmetic errors. Scales the small-sample campaign because its ROAS looks best. Q5 left blank or generic. Headlines over 30 characters or interchangeable with any brand.</t>
  </si>
  <si>
    <t xml:space="preserve">Take-home, 2-3 hr + 30 min walkthrough</t>
  </si>
  <si>
    <t xml:space="preserve">A B2B services client spends 4L/month on Google Search. CPL has risen from 1,100 to 1,750 over eight weeks while volume is flat. You are given: a 40-row search terms report, a campaign/ad group structure export, and the conversion actions list. 1) Classify the search terms and build a negative keyword plan (with match types and where each negative sits). 2) Identify two structural problems and propose the fix. 3) There is a tracking problem in the conversion actions list - find it and explain the impact. 4) Give a prioritised 2-week action plan with expected impact and effort.</t>
  </si>
  <si>
    <t xml:space="preserve">Include in the export: an obvious irrelevant-intent cluster (jobs/free/DIY), a brand term sitting inside a generic ad group, one high-spend zero-conversion term, and TWO conversion actions both counting the same form (double counting) or a page-view action set as primary.</t>
  </si>
  <si>
    <t xml:space="preserve">Finds the double-counted conversion action and connects it to the CPL trend. Negatives are correctly scoped by match type and level, not a flat list. Notices brand traffic inflating a generic ad group. Prioritises by impact x effort rather than listing 20 items. Says what they would check that the data does not show.</t>
  </si>
  <si>
    <t xml:space="preserve">Produces a long unprioritised list. Misses the tracking issue entirely. Adds every non-converting term as a negative regardless of volume. Recommends 'increase budget' or 'lower bids' as the primary fix.</t>
  </si>
  <si>
    <t xml:space="preserve">A D2C brand spends 6L/month across Shopping/PMax and Meta. Blended ROAS has fallen from 3.4 to 2.6 in six weeks. You are given: product-level Shopping performance for the top 40 SKUs, a Merchant Center diagnostics summary, and Meta campaign performance by campaign type. 1) Which products should get more budget, which should be excluded, and on what basis? 2) Propose a custom label strategy and explain what each label would be used for. 3) The Merchant Center summary shows disapprovals - explain the likely causes and the fix. 4) On Meta, retargeting is 45% of spend at 6.0 ROAS while prospecting is at 1.4. What do you conclude and what do you recommend?</t>
  </si>
  <si>
    <t xml:space="preserve">Include: several high-spend low-conversion SKUs, a few high-margin-looking low-spend winners, a batch of 'missing GTIN' and 'image quality' disapprovals, and a Meta split heavily weighted to retargeting.</t>
  </si>
  <si>
    <t xml:space="preserve">Asks for margin data before ranking products by revenue. Proposes custom labels tied to economics (margin, price band, bestseller, stock) not arbitrary categories. Correctly diagnoses the feed disapprovals. On Meta, recognises that a 45% retargeting split with 6.0 ROAS is mostly harvesting existing demand and that blended ROAS is falling BECAUSE prospecting is weak - recommends rebalancing plus creative work, not cutting prospecting.</t>
  </si>
  <si>
    <t xml:space="preserve">Ranks products by revenue with no margin question. Recommends shifting more budget to retargeting because its ROAS is highest. Ignores the feed disapprovals or treats them as a technical footnote.</t>
  </si>
  <si>
    <t xml:space="preserve">Live case, 25 min prep + 20 min present + 15 min challenge</t>
  </si>
  <si>
    <t xml:space="preserve">A 12L/month lead gen account across Google and Meta. Over 10 weeks: CPL is up 45%, lead volume is flat, and lead-to-SQL rate has fallen from 32% to 19%. Budget is unchanged. The client has told their board they will hit 200 SQLs this quarter and they are tracking at 130. 1) Give your diagnostic hypothesis list, ranked, and state what data you would pull for each. 2) What is your 30/60/90 plan? 3) What do you tell the client on Monday, and what do you ask them for?</t>
  </si>
  <si>
    <t xml:space="preserve">Give them a one-page summary: channel split, weekly CPL trend, a note that PMax was launched in week 3, that the client ran a discount offer in weeks 5-6, and that the client's sales team lost two people in week 4.</t>
  </si>
  <si>
    <t xml:space="preserve">Separates a media problem from a lead-quality problem from a client-side sales-capacity problem - and notices the sales team departure explains part of the SQL rate drop. Flags PMax launch timing as a prime suspect for quality dilution. Ranks hypotheses by likelihood AND by how cheaply they can be tested. The Monday conversation is honest, includes a revised forecast, and asks the client for something specific (lead-level feedback, OCI implementation, sales capacity confirmation). Does not promise 200 SQLs.</t>
  </si>
  <si>
    <t xml:space="preserve">Treats it purely as a bidding and keyword problem. Misses the sales headcount clue. Presents a plan with no forecast revision. Promises to hit the board number. Blames the client without a plan to work with them.</t>
  </si>
  <si>
    <t xml:space="preserve">A D2C brand at 25L/month. Platform-reported ROAS is stable at 4.1 (Google) and 3.2 (Meta), but blended MER has fallen from 3.2 to 2.4 over the quarter and the founder says the business is losing money on marketing. Revenue is up 8%; spend is up 44%. 1) Explain to the founder what is happening, in their language. 2) What would you measure differently going forward? 3) Give a plan to get MER back to 3.0 without collapsing revenue.</t>
  </si>
  <si>
    <t xml:space="preserve">Provide: monthly spend and backend revenue, platform-reported revenue by channel (which sums to more than backend revenue), the new vs returning customer split, and a note that a large retargeting budget increase happened in month 2.</t>
  </si>
  <si>
    <t xml:space="preserve">Immediately spots that summed platform revenue exceeds backend revenue - double counting and attribution inflation. Connects the retargeting increase to inflated platform ROAS and falling incrementality. Explains marginal versus average return: the extra 44% of spend bought far less than the first rupee did. Proposes MER and new-customer CAC as the governing metrics, a geo holdout or budget-off test on retargeting, and a staged spend correction rather than a slash. Talks about contribution margin, not just ROAS.</t>
  </si>
  <si>
    <t xml:space="preserve">Accepts platform ROAS at face value and says performance is fine. Recommends cutting spend across the board. Cannot explain the gap between platform and backend revenue. No measurement change proposed.</t>
  </si>
  <si>
    <t xml:space="preserve">Business case, 24 hr prep + 90 min session</t>
  </si>
  <si>
    <t xml:space="preserve">You have just taken over a portfolio of six accounts totalling 90L/month in spend, with a team of four (one Manager, two Associates, one Intern). Situation: two accounts are at renewal risk within 90 days; one account is 40% of portfolio revenue and is over-serviced; the Manager is strong technically but two Associates are underutilised; the largest client has asked for a growth plan to double spend in two quarters. Prepare and present: 1) Your first 90 days - what you do in weeks 1-2, 3-6 and 7-12, and what you deliberately do NOT do. 2) A growth plan for the largest client: how you would scale spend responsibly, what you would need to be true, and how you would forecast it. 3) A retention plan for the two at-risk accounts. 4) A team and process recommendation, including how you would restructure workload and what you would build once and reuse.</t>
  </si>
  <si>
    <t xml:space="preserve">Give a one-page portfolio summary with per-account spend, tenure, margin/servicing hours, satisfaction notes, and the team's current allocation.</t>
  </si>
  <si>
    <t xml:space="preserve">Prioritises by revenue at risk, not by noise. Names what they will NOT do, which is the real test. The growth plan is grounded in headroom, marginal efficiency and creative/landing capacity - with explicit conditions and a staged ramp, not a linear promise. The retention plan addresses the actual cause (usually communication and expectation setting, not just performance). The team recommendation redistributes work and builds reusable process rather than asking to hire. Comfortable being challenged; changes position when the argument is good and holds when it is not.</t>
  </si>
  <si>
    <t xml:space="preserve">A generic 30/60/90 template with no reference to the specifics given. Promises to fix everything. Asks to hire immediately. Cannot explain how they would forecast the growth plan. Becomes defensive under challenge, or abandons a sound position at the first push.</t>
  </si>
  <si>
    <t xml:space="preserve">RULES FOR RUNNING THE CASE</t>
  </si>
  <si>
    <t xml:space="preserve">•  Anonymise the data. Use a real account structure with the client name, product names and absolute revenue figures changed.</t>
  </si>
  <si>
    <t xml:space="preserve">•  Cap the take-home at 3 hours and say so in writing. Anyone who spends 12 hours is telling you about their anxiety, not their ability.</t>
  </si>
  <si>
    <t xml:space="preserve">•  Never use a candidate's case output on a live account. If you would find it useful, you have set an unpaid work task, not a test.</t>
  </si>
  <si>
    <t xml:space="preserve">•  Always run the walkthrough. Change one assumption mid-conversation ('what if the margin were 20% not 45%?') and watch whether they can re-reason or only recite.</t>
  </si>
  <si>
    <t xml:space="preserve">•  Score the questions they ask before they start. A candidate who asks for the target CPA, the margin, or the conversion definition before touching the data is already differentiating themselves.</t>
  </si>
  <si>
    <t xml:space="preserve">•  Tell them what you are assessing. You are testing thinking, not psychic ability - and how you run the case is also how the candidate judges you.</t>
  </si>
  <si>
    <t xml:space="preserve">CROSS-CUTTING SIGNALS - WHAT TO WATCH FOR IN ANY ROUND</t>
  </si>
  <si>
    <t xml:space="preserve">These apply at every level and in every round, including the HR screen. Note them in the Evidence column of your scorecard.</t>
  </si>
  <si>
    <t xml:space="preserve">GREEN FLAGS - hire signals</t>
  </si>
  <si>
    <t xml:space="preserve">RED FLAGS - stop and probe</t>
  </si>
  <si>
    <t xml:space="preserve">Specificity</t>
  </si>
  <si>
    <t xml:space="preserve">Names actual settings, numbers, dates and account details unprompted. Says 'we moved from tCPA 900 to 1,150 in March because...' rather than 'we optimised the campaigns'.</t>
  </si>
  <si>
    <t xml:space="preserve">Blames everything external</t>
  </si>
  <si>
    <t xml:space="preserve">The algorithm, the client, the season, the previous agency, the sales team. Never their own decisions.</t>
  </si>
  <si>
    <t xml:space="preserve">Says 'I do not know'</t>
  </si>
  <si>
    <t xml:space="preserve">Then says how they would find out. Highly correlated with honest reporting later.</t>
  </si>
  <si>
    <t xml:space="preserve">Vague at every level of detail</t>
  </si>
  <si>
    <t xml:space="preserve">Every follow-up produces more generality. Usually means they watched work happen rather than doing it.</t>
  </si>
  <si>
    <t xml:space="preserve">Volunteers failures</t>
  </si>
  <si>
    <t xml:space="preserve">Brings up something that went wrong before you ask, and describes what changed as a result.</t>
  </si>
  <si>
    <t xml:space="preserve">Numbers that do not survive probing</t>
  </si>
  <si>
    <t xml:space="preserve">CV claims a 300% improvement; two questions in, the baseline, timeframe and their own role all become unclear.</t>
  </si>
  <si>
    <t xml:space="preserve">Asks about the business</t>
  </si>
  <si>
    <t xml:space="preserve">Wants to know the client's margin, the sales process, the product - not just the ad account.</t>
  </si>
  <si>
    <t xml:space="preserve">No mistakes, ever</t>
  </si>
  <si>
    <t xml:space="preserve">Cannot name one. Either dishonest or has never had real ownership.</t>
  </si>
  <si>
    <t xml:space="preserve">Corrects themselves</t>
  </si>
  <si>
    <t xml:space="preserve">Revises an answer mid-conversation when they realise it was wrong. Signals thinking rather than reciting.</t>
  </si>
  <si>
    <t xml:space="preserve">Treats execution as beneath them</t>
  </si>
  <si>
    <t xml:space="preserve">Wants to 'do strategy' but cannot describe a QA process or a naming convention.</t>
  </si>
  <si>
    <t xml:space="preserve">Distinguishes correlation from cause</t>
  </si>
  <si>
    <t xml:space="preserve">Uses words like 'incremental', 'holdout', 'sample size' naturally, not as vocabulary.</t>
  </si>
  <si>
    <t xml:space="preserve">Dashboard-deep only</t>
  </si>
  <si>
    <t xml:space="preserve">Can read a report but cannot explain how a number is produced or when it is wrong.</t>
  </si>
  <si>
    <t xml:space="preserve">Their questions are good</t>
  </si>
  <si>
    <t xml:space="preserve">Asks about how success is measured, what has not worked before, what the first 90 days look like, why the role is open.</t>
  </si>
  <si>
    <t xml:space="preserve">Certainty without evidence</t>
  </si>
  <si>
    <t xml:space="preserve">States tactics as universal laws. Cannot name a situation where their approach would fail.</t>
  </si>
  <si>
    <t xml:space="preserve">Evidence of self-teaching</t>
  </si>
  <si>
    <t xml:space="preserve">Can point to something specific they learned recently and where they applied it. Weight this heavily at Intern and Associate.</t>
  </si>
  <si>
    <t xml:space="preserve">Optimises the wrong metric knowingly</t>
  </si>
  <si>
    <t xml:space="preserve">Would report improved CPL while knowing lead quality collapsed. Ask directly.</t>
  </si>
  <si>
    <t xml:space="preserve">Reasons from mechanics</t>
  </si>
  <si>
    <t xml:space="preserve">Explains WHY a lever works, not just that it does. Can derive an answer they have not memorised.</t>
  </si>
  <si>
    <t xml:space="preserve">Defensive under mild challenge</t>
  </si>
  <si>
    <t xml:space="preserve">Push back once on an answer and watch. Client work will push back much harder.</t>
  </si>
  <si>
    <t xml:space="preserve">Comfortable with trade-offs</t>
  </si>
  <si>
    <t xml:space="preserve">Answers 'it depends' AND then immediately says what it depends on.</t>
  </si>
  <si>
    <t xml:space="preserve">No curiosity about the role</t>
  </si>
  <si>
    <t xml:space="preserve">No questions, or only about salary, title and promotion timeline in the first round.</t>
  </si>
  <si>
    <t xml:space="preserve">Cannot do arithmetic out loud</t>
  </si>
  <si>
    <t xml:space="preserve">At any level. This job is applied arithmetic.</t>
  </si>
  <si>
    <t xml:space="preserve">Speaks badly about a previous client or employer</t>
  </si>
  <si>
    <t xml:space="preserve">Some criticism is fair. Contempt or breach of confidentiality is not - they will do it to you next.</t>
  </si>
  <si>
    <t xml:space="preserve">THE PROBE TECHNIQUE THAT CATCHES MOST EXAGGERATION</t>
  </si>
  <si>
    <t xml:space="preserve">•  Ask the same claim three times, going one level deeper each time. 'We reduced CPA by 40%' → 'From what to what, over what period?' → 'What specifically did you change, and in what order?' → 'What was the first thing you tried that did not work?' People who did the work get more specific. People who did not get more general.</t>
  </si>
  <si>
    <t xml:space="preserve">•  Ask for the failure version of every success story. 'What did you try that made it worse?' Anyone with real account experience has an answer within five seconds.</t>
  </si>
  <si>
    <t xml:space="preserve">•  Push back once on a correct answer. Say 'I am not sure I agree with that' and stop talking. You are testing whether they can hold a reasoned position without either collapsing or bristling - both are expensive in client work.</t>
  </si>
  <si>
    <t xml:space="preserve">•  Ask 'what would have to be true for the opposite approach to be right?' This separates people who understand a mechanism from people who memorised a best practice.</t>
  </si>
  <si>
    <t xml:space="preserve">•  For any tool or platform on the CV, ask them to describe the actual interface - where a setting lives, what the screen looks like. It is very hard to fake and very quick to check.</t>
  </si>
  <si>
    <t xml:space="preserve">DEBRIEF &amp; DECISION PROTOCOL</t>
  </si>
  <si>
    <t xml:space="preserve">Run this in order. Most bad hires are made in the debrief, not in the interview.</t>
  </si>
  <si>
    <t xml:space="preserve">#</t>
  </si>
  <si>
    <t xml:space="preserve">Step</t>
  </si>
  <si>
    <t xml:space="preserve">How to do it</t>
  </si>
  <si>
    <t xml:space="preserve">1</t>
  </si>
  <si>
    <t xml:space="preserve">Score independently BEFORE the debrief</t>
  </si>
  <si>
    <t xml:space="preserve">Every interviewer completes their own scorecard and submits it before anyone discusses the candidate. Talking first is how one confident voice overwrites three honest ones.</t>
  </si>
  <si>
    <t xml:space="preserve">2</t>
  </si>
  <si>
    <t xml:space="preserve">Read evidence, not conclusions</t>
  </si>
  <si>
    <t xml:space="preserve">Each interviewer states what the candidate SAID or DID for each competency, then their rating. If someone cannot produce evidence for a rating, the rating does not count.</t>
  </si>
  <si>
    <t xml:space="preserve">3</t>
  </si>
  <si>
    <t xml:space="preserve">Resolve the gaps, do not average them</t>
  </si>
  <si>
    <t xml:space="preserve">If one interviewer rates a competency 4 and another rates it 1, do not split the difference. Find out why - usually they probed different things. If unresolved, run a short targeted follow-up rather than guessing.</t>
  </si>
  <si>
    <t xml:space="preserve">4</t>
  </si>
  <si>
    <t xml:space="preserve">Apply the must-pass gate</t>
  </si>
  <si>
    <t xml:space="preserve">A '1' on any must-pass competency is a no-hire regardless of total score. This is the whole point of the gate - it stops a charming candidate from passing on likeability.</t>
  </si>
  <si>
    <t xml:space="preserve">5</t>
  </si>
  <si>
    <t xml:space="preserve">Ask the ownership question explicitly</t>
  </si>
  <si>
    <t xml:space="preserve">'Would I be comfortable giving this person an account and going on leave for two weeks in six months' time?' If nobody says yes, it is a no regardless of the score.</t>
  </si>
  <si>
    <t xml:space="preserve">6</t>
  </si>
  <si>
    <t xml:space="preserve">Check for the learning signal</t>
  </si>
  <si>
    <t xml:space="preserve">For Intern and Associate especially: is there concrete evidence of self-directed learning? If the only evidence is the claim 'I am a fast learner', treat it as absent.</t>
  </si>
  <si>
    <t xml:space="preserve">7</t>
  </si>
  <si>
    <t xml:space="preserve">Decide the level, not just the yes/no</t>
  </si>
  <si>
    <t xml:space="preserve">A borderline Manager may be an excellent Associate. Say so explicitly rather than rejecting - and be honest with the candidate about why.</t>
  </si>
  <si>
    <t xml:space="preserve">8</t>
  </si>
  <si>
    <t xml:space="preserve">Write the decision down, including the risk</t>
  </si>
  <si>
    <t xml:space="preserve">Every hire has a known weakness. Record it, and hand it to the person's manager as the first 90-day development priority. Most avoidable attrition comes from a known risk nobody wrote down.</t>
  </si>
  <si>
    <t xml:space="preserve">9</t>
  </si>
  <si>
    <t xml:space="preserve">Close the loop on rejections within 48 hours</t>
  </si>
  <si>
    <t xml:space="preserve">With one specific reason. Candidates talk, and the market for good performance marketers is small.</t>
  </si>
  <si>
    <t xml:space="preserve">10</t>
  </si>
  <si>
    <t xml:space="preserve">Review your own hit rate every two quarters</t>
  </si>
  <si>
    <t xml:space="preserve">Compare interview scores against 6-month performance ratings. If a competency's score never predicts performance, either the questions are wrong or the weighting is.</t>
  </si>
  <si>
    <t xml:space="preserve">DECISION RECORD - complete for every candidate who reaches the final round</t>
  </si>
  <si>
    <t xml:space="preserve">Candidate</t>
  </si>
  <si>
    <t xml:space="preserve">Level applied for / level offered</t>
  </si>
  <si>
    <t xml:space="preserve">Average weighted score across interviewers</t>
  </si>
  <si>
    <t xml:space="preserve">Lowest single competency score, and by whom</t>
  </si>
  <si>
    <t xml:space="preserve">Decision (Strong hire / Hire / Borderline / No hire)</t>
  </si>
  <si>
    <t xml:space="preserve">The known weakness we are accepting</t>
  </si>
  <si>
    <t xml:space="preserve">Every hire has one. Name it here or it will surface unmanaged at month four.</t>
  </si>
  <si>
    <t xml:space="preserve">First 90-day development priority (hand this to their manager on day 1)</t>
  </si>
  <si>
    <t xml:space="preserve">Who probes this in the 30-day check-in</t>
  </si>
  <si>
    <t xml:space="preserve">Decision owner and date</t>
  </si>
</sst>
</file>

<file path=xl/styles.xml><?xml version="1.0" encoding="utf-8"?>
<styleSheet xmlns="http://schemas.openxmlformats.org/spreadsheetml/2006/main">
  <numFmts count="3">
    <numFmt numFmtId="164" formatCode="General"/>
    <numFmt numFmtId="165" formatCode="0%"/>
    <numFmt numFmtId="166" formatCode="0.0%"/>
  </numFmts>
  <fonts count="28">
    <font>
      <sz val="11"/>
      <color theme="1"/>
      <name val="Calibri"/>
      <family val="2"/>
      <charset val="1"/>
    </font>
    <font>
      <sz val="10"/>
      <name val="Arial"/>
      <family val="0"/>
    </font>
    <font>
      <sz val="10"/>
      <name val="Arial"/>
      <family val="0"/>
    </font>
    <font>
      <sz val="10"/>
      <name val="Arial"/>
      <family val="0"/>
    </font>
    <font>
      <b val="true"/>
      <sz val="16"/>
      <color rgb="FFFFFFFF"/>
      <name val="Arial"/>
      <family val="0"/>
      <charset val="1"/>
    </font>
    <font>
      <i val="true"/>
      <sz val="9"/>
      <color rgb="FF1F3864"/>
      <name val="Arial"/>
      <family val="0"/>
      <charset val="1"/>
    </font>
    <font>
      <b val="true"/>
      <sz val="11"/>
      <color rgb="FFFFFFFF"/>
      <name val="Arial"/>
      <family val="0"/>
      <charset val="1"/>
    </font>
    <font>
      <b val="true"/>
      <sz val="10"/>
      <color rgb="FF1F3864"/>
      <name val="Arial"/>
      <family val="0"/>
      <charset val="1"/>
    </font>
    <font>
      <sz val="9.5"/>
      <color rgb="FF000000"/>
      <name val="Arial"/>
      <family val="0"/>
      <charset val="1"/>
    </font>
    <font>
      <i val="true"/>
      <sz val="9"/>
      <color rgb="FF808080"/>
      <name val="Arial"/>
      <family val="0"/>
      <charset val="1"/>
    </font>
    <font>
      <b val="true"/>
      <sz val="10"/>
      <color rgb="FFFFFFFF"/>
      <name val="Arial"/>
      <family val="0"/>
      <charset val="1"/>
    </font>
    <font>
      <sz val="10"/>
      <color rgb="FF000000"/>
      <name val="Arial"/>
      <family val="0"/>
      <charset val="1"/>
    </font>
    <font>
      <b val="true"/>
      <sz val="10"/>
      <color rgb="FF000000"/>
      <name val="Arial"/>
      <family val="0"/>
      <charset val="1"/>
    </font>
    <font>
      <sz val="9"/>
      <color rgb="FF000000"/>
      <name val="Arial"/>
      <family val="0"/>
      <charset val="1"/>
    </font>
    <font>
      <b val="true"/>
      <sz val="11"/>
      <color rgb="FF000000"/>
      <name val="Arial"/>
      <family val="0"/>
      <charset val="1"/>
    </font>
    <font>
      <b val="true"/>
      <sz val="10"/>
      <color rgb="FF808080"/>
      <name val="Arial"/>
      <family val="0"/>
      <charset val="1"/>
    </font>
    <font>
      <b val="true"/>
      <sz val="10"/>
      <color rgb="FFC00000"/>
      <name val="Arial"/>
      <family val="0"/>
      <charset val="1"/>
    </font>
    <font>
      <b val="true"/>
      <sz val="12"/>
      <color rgb="FFFFFFFF"/>
      <name val="Arial"/>
      <family val="0"/>
      <charset val="1"/>
    </font>
    <font>
      <b val="true"/>
      <sz val="11"/>
      <color rgb="FF1F3864"/>
      <name val="Arial"/>
      <family val="0"/>
      <charset val="1"/>
    </font>
    <font>
      <b val="true"/>
      <sz val="12"/>
      <color rgb="FF1F3864"/>
      <name val="Arial"/>
      <family val="0"/>
      <charset val="1"/>
    </font>
    <font>
      <sz val="10"/>
      <name val="Arial"/>
      <family val="2"/>
    </font>
    <font>
      <b val="true"/>
      <sz val="9"/>
      <color rgb="FF1F3864"/>
      <name val="Arial"/>
      <family val="0"/>
      <charset val="1"/>
    </font>
    <font>
      <b val="true"/>
      <sz val="9.5"/>
      <color rgb="FF000000"/>
      <name val="Arial"/>
      <family val="0"/>
      <charset val="1"/>
    </font>
    <font>
      <sz val="9"/>
      <color rgb="FF9C0006"/>
      <name val="Arial"/>
      <family val="0"/>
      <charset val="1"/>
    </font>
    <font>
      <sz val="9.5"/>
      <color rgb="FF375623"/>
      <name val="Arial"/>
      <family val="0"/>
      <charset val="1"/>
    </font>
    <font>
      <sz val="9.5"/>
      <color rgb="FF9C0006"/>
      <name val="Arial"/>
      <family val="0"/>
      <charset val="1"/>
    </font>
    <font>
      <b val="true"/>
      <sz val="10"/>
      <color rgb="FF375623"/>
      <name val="Arial"/>
      <family val="0"/>
      <charset val="1"/>
    </font>
    <font>
      <b val="true"/>
      <sz val="10"/>
      <color rgb="FF9C0006"/>
      <name val="Arial"/>
      <family val="0"/>
      <charset val="1"/>
    </font>
  </fonts>
  <fills count="11">
    <fill>
      <patternFill patternType="none"/>
    </fill>
    <fill>
      <patternFill patternType="gray125"/>
    </fill>
    <fill>
      <patternFill patternType="solid">
        <fgColor rgb="FF1F3864"/>
        <bgColor rgb="FF333399"/>
      </patternFill>
    </fill>
    <fill>
      <patternFill patternType="solid">
        <fgColor rgb="FFDCE6F1"/>
        <bgColor rgb="FFE2EFDA"/>
      </patternFill>
    </fill>
    <fill>
      <patternFill patternType="solid">
        <fgColor rgb="FF2E5C9A"/>
        <bgColor rgb="FF333399"/>
      </patternFill>
    </fill>
    <fill>
      <patternFill patternType="solid">
        <fgColor rgb="FFF2F6FB"/>
        <bgColor rgb="FFFFFFFF"/>
      </patternFill>
    </fill>
    <fill>
      <patternFill patternType="solid">
        <fgColor rgb="FFFFF2CC"/>
        <bgColor rgb="FFFCE4E4"/>
      </patternFill>
    </fill>
    <fill>
      <patternFill patternType="solid">
        <fgColor rgb="FF375623"/>
        <bgColor rgb="FF333300"/>
      </patternFill>
    </fill>
    <fill>
      <patternFill patternType="solid">
        <fgColor rgb="FF9C0006"/>
        <bgColor rgb="FF800000"/>
      </patternFill>
    </fill>
    <fill>
      <patternFill patternType="solid">
        <fgColor rgb="FFE2EFDA"/>
        <bgColor rgb="FFDCE6F1"/>
      </patternFill>
    </fill>
    <fill>
      <patternFill patternType="solid">
        <fgColor rgb="FFFCE4E4"/>
        <bgColor rgb="FFFFF2CC"/>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1" shrinkToFit="false"/>
      <protection locked="true" hidden="false"/>
    </xf>
    <xf numFmtId="164" fontId="5" fillId="3" borderId="0" xfId="0" applyFont="true" applyBorder="true" applyAlignment="true" applyProtection="false">
      <alignment horizontal="left" vertical="center" textRotation="0" wrapText="false" indent="1" shrinkToFit="false"/>
      <protection locked="true" hidden="false"/>
    </xf>
    <xf numFmtId="164" fontId="6" fillId="4" borderId="0" xfId="0" applyFont="true" applyBorder="true" applyAlignment="true" applyProtection="false">
      <alignment horizontal="left" vertical="center" textRotation="0" wrapText="false" indent="1" shrinkToFit="false"/>
      <protection locked="true" hidden="false"/>
    </xf>
    <xf numFmtId="164" fontId="7" fillId="0" borderId="0" xfId="0" applyFont="true" applyBorder="false" applyAlignment="true" applyProtection="false">
      <alignment horizontal="left"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9" fillId="0" borderId="0" xfId="0" applyFont="true" applyBorder="true" applyAlignment="false" applyProtection="false">
      <alignment horizontal="general" vertical="bottom" textRotation="0" wrapText="false" indent="0" shrinkToFit="false"/>
      <protection locked="true" hidden="false"/>
    </xf>
    <xf numFmtId="164" fontId="10" fillId="4" borderId="1" xfId="0" applyFont="true" applyBorder="true" applyAlignment="true" applyProtection="false">
      <alignment horizontal="left" vertical="center"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7" fillId="5" borderId="1" xfId="0" applyFont="true" applyBorder="true" applyAlignment="true" applyProtection="false">
      <alignment horizontal="general" vertical="top" textRotation="0" wrapText="true" indent="0" shrinkToFit="false"/>
      <protection locked="true" hidden="false"/>
    </xf>
    <xf numFmtId="164" fontId="8" fillId="5" borderId="1" xfId="0" applyFont="true" applyBorder="true" applyAlignment="true" applyProtection="false">
      <alignment horizontal="general" vertical="top" textRotation="0" wrapText="true" indent="0" shrinkToFit="false"/>
      <protection locked="true" hidden="false"/>
    </xf>
    <xf numFmtId="164" fontId="11" fillId="6" borderId="1" xfId="0" applyFont="true" applyBorder="true" applyAlignment="false" applyProtection="false">
      <alignment horizontal="general" vertical="bottom" textRotation="0" wrapText="false" indent="0" shrinkToFit="false"/>
      <protection locked="true" hidden="false"/>
    </xf>
    <xf numFmtId="164" fontId="12" fillId="0" borderId="1" xfId="0" applyFont="true" applyBorder="true" applyAlignment="true" applyProtection="false">
      <alignment horizontal="general" vertical="top" textRotation="0" wrapText="true" indent="0" shrinkToFit="false"/>
      <protection locked="true" hidden="false"/>
    </xf>
    <xf numFmtId="165" fontId="11" fillId="0" borderId="1" xfId="0" applyFont="true" applyBorder="true" applyAlignment="true" applyProtection="false">
      <alignment horizontal="center" vertical="center" textRotation="0" wrapText="true" indent="0" shrinkToFit="false"/>
      <protection locked="true" hidden="false"/>
    </xf>
    <xf numFmtId="164" fontId="13" fillId="0" borderId="1" xfId="0" applyFont="true" applyBorder="true" applyAlignment="true" applyProtection="false">
      <alignment horizontal="general" vertical="top" textRotation="0" wrapText="true" indent="0" shrinkToFit="false"/>
      <protection locked="true" hidden="false"/>
    </xf>
    <xf numFmtId="164" fontId="14" fillId="6" borderId="1" xfId="0" applyFont="true" applyBorder="true" applyAlignment="true" applyProtection="false">
      <alignment horizontal="center" vertical="center" textRotation="0" wrapText="true" indent="0" shrinkToFit="false"/>
      <protection locked="true" hidden="false"/>
    </xf>
    <xf numFmtId="166" fontId="11" fillId="0" borderId="1" xfId="0" applyFont="true" applyBorder="true" applyAlignment="true" applyProtection="false">
      <alignment horizontal="center" vertical="center" textRotation="0" wrapText="true" indent="0" shrinkToFit="false"/>
      <protection locked="true" hidden="false"/>
    </xf>
    <xf numFmtId="164" fontId="15" fillId="0" borderId="1" xfId="0" applyFont="true" applyBorder="true" applyAlignment="true" applyProtection="false">
      <alignment horizontal="center" vertical="center" textRotation="0" wrapText="true" indent="0" shrinkToFit="false"/>
      <protection locked="true" hidden="false"/>
    </xf>
    <xf numFmtId="164" fontId="13" fillId="6" borderId="1" xfId="0" applyFont="true" applyBorder="true" applyAlignment="true" applyProtection="false">
      <alignment horizontal="general" vertical="top" textRotation="0" wrapText="true" indent="0" shrinkToFit="false"/>
      <protection locked="true" hidden="false"/>
    </xf>
    <xf numFmtId="164" fontId="16" fillId="0" borderId="1" xfId="0" applyFont="true" applyBorder="true" applyAlignment="true" applyProtection="false">
      <alignment horizontal="center" vertical="center" textRotation="0" wrapText="true" indent="0" shrinkToFit="false"/>
      <protection locked="true" hidden="false"/>
    </xf>
    <xf numFmtId="164" fontId="6" fillId="2" borderId="1" xfId="0" applyFont="true" applyBorder="true" applyAlignment="false" applyProtection="false">
      <alignment horizontal="general" vertical="bottom" textRotation="0" wrapText="false" indent="0" shrinkToFit="false"/>
      <protection locked="true" hidden="false"/>
    </xf>
    <xf numFmtId="165" fontId="6" fillId="2" borderId="1" xfId="0" applyFont="true" applyBorder="true" applyAlignment="true" applyProtection="false">
      <alignment horizontal="center" vertical="center" textRotation="0" wrapText="true" indent="0" shrinkToFit="false"/>
      <protection locked="true" hidden="false"/>
    </xf>
    <xf numFmtId="164" fontId="0" fillId="2" borderId="1" xfId="0" applyFont="false" applyBorder="true" applyAlignment="false" applyProtection="false">
      <alignment horizontal="general" vertical="bottom" textRotation="0" wrapText="false" indent="0" shrinkToFit="false"/>
      <protection locked="true" hidden="false"/>
    </xf>
    <xf numFmtId="166" fontId="17" fillId="2" borderId="1" xfId="0" applyFont="true" applyBorder="true" applyAlignment="true" applyProtection="false">
      <alignment horizontal="center" vertical="center" textRotation="0" wrapText="true" indent="0" shrinkToFit="false"/>
      <protection locked="true" hidden="false"/>
    </xf>
    <xf numFmtId="164" fontId="18" fillId="0" borderId="0" xfId="0" applyFont="true" applyBorder="false" applyAlignment="true" applyProtection="false">
      <alignment horizontal="left" vertical="top" textRotation="0" wrapText="true" indent="0" shrinkToFit="false"/>
      <protection locked="true" hidden="false"/>
    </xf>
    <xf numFmtId="166" fontId="19" fillId="3" borderId="1" xfId="0" applyFont="true" applyBorder="true" applyAlignment="true" applyProtection="false">
      <alignment horizontal="left" vertical="center" textRotation="0" wrapText="false" indent="1" shrinkToFit="false"/>
      <protection locked="true" hidden="false"/>
    </xf>
    <xf numFmtId="164" fontId="19" fillId="3" borderId="1" xfId="0" applyFont="true" applyBorder="true" applyAlignment="true" applyProtection="false">
      <alignment horizontal="left" vertical="center" textRotation="0" wrapText="false" indent="1" shrinkToFit="false"/>
      <protection locked="true" hidden="false"/>
    </xf>
    <xf numFmtId="164" fontId="11" fillId="0"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true" applyAlignment="false" applyProtection="false">
      <alignment horizontal="general" vertical="bottom" textRotation="0" wrapText="false" indent="0" shrinkToFit="false"/>
      <protection locked="true" hidden="false"/>
    </xf>
    <xf numFmtId="164" fontId="0" fillId="6" borderId="1" xfId="0" applyFont="false" applyBorder="true" applyAlignment="true" applyProtection="false">
      <alignment horizontal="general" vertical="top" textRotation="0" wrapText="true" indent="0" shrinkToFit="false"/>
      <protection locked="true" hidden="false"/>
    </xf>
    <xf numFmtId="164" fontId="21" fillId="0"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center" vertical="center" textRotation="0" wrapText="true" indent="0" shrinkToFit="false"/>
      <protection locked="true" hidden="false"/>
    </xf>
    <xf numFmtId="164" fontId="22" fillId="0" borderId="1" xfId="0" applyFont="true" applyBorder="true" applyAlignment="true" applyProtection="false">
      <alignment horizontal="general" vertical="top" textRotation="0" wrapText="true" indent="0" shrinkToFit="false"/>
      <protection locked="true" hidden="false"/>
    </xf>
    <xf numFmtId="164" fontId="23" fillId="0" borderId="1" xfId="0" applyFont="true" applyBorder="true" applyAlignment="true" applyProtection="false">
      <alignment horizontal="general" vertical="top" textRotation="0" wrapText="true" indent="0" shrinkToFit="false"/>
      <protection locked="true" hidden="false"/>
    </xf>
    <xf numFmtId="164" fontId="21" fillId="5" borderId="1" xfId="0" applyFont="true" applyBorder="true" applyAlignment="true" applyProtection="false">
      <alignment horizontal="center" vertical="center" textRotation="0" wrapText="true" indent="0" shrinkToFit="false"/>
      <protection locked="true" hidden="false"/>
    </xf>
    <xf numFmtId="164" fontId="8" fillId="5" borderId="1" xfId="0" applyFont="true" applyBorder="true" applyAlignment="true" applyProtection="false">
      <alignment horizontal="center" vertical="center" textRotation="0" wrapText="true" indent="0" shrinkToFit="false"/>
      <protection locked="true" hidden="false"/>
    </xf>
    <xf numFmtId="164" fontId="22" fillId="5" borderId="1" xfId="0" applyFont="true" applyBorder="true" applyAlignment="true" applyProtection="false">
      <alignment horizontal="general" vertical="top" textRotation="0" wrapText="true" indent="0" shrinkToFit="false"/>
      <protection locked="true" hidden="false"/>
    </xf>
    <xf numFmtId="164" fontId="23" fillId="5" borderId="1" xfId="0" applyFont="true" applyBorder="true" applyAlignment="true" applyProtection="false">
      <alignment horizontal="general" vertical="top" textRotation="0" wrapText="true" indent="0" shrinkToFit="false"/>
      <protection locked="true" hidden="false"/>
    </xf>
    <xf numFmtId="164" fontId="24" fillId="0" borderId="1" xfId="0" applyFont="true" applyBorder="true" applyAlignment="true" applyProtection="false">
      <alignment horizontal="general" vertical="top" textRotation="0" wrapText="true" indent="0" shrinkToFit="false"/>
      <protection locked="true" hidden="false"/>
    </xf>
    <xf numFmtId="164" fontId="25" fillId="0" borderId="1" xfId="0" applyFont="true" applyBorder="true" applyAlignment="true" applyProtection="false">
      <alignment horizontal="general" vertical="top" textRotation="0" wrapText="true" indent="0" shrinkToFit="false"/>
      <protection locked="true" hidden="false"/>
    </xf>
    <xf numFmtId="164" fontId="24" fillId="5" borderId="1" xfId="0" applyFont="true" applyBorder="true" applyAlignment="true" applyProtection="false">
      <alignment horizontal="general" vertical="top" textRotation="0" wrapText="true" indent="0" shrinkToFit="false"/>
      <protection locked="true" hidden="false"/>
    </xf>
    <xf numFmtId="164" fontId="25" fillId="5" borderId="1" xfId="0" applyFont="true" applyBorder="true" applyAlignment="true" applyProtection="false">
      <alignment horizontal="general" vertical="top" textRotation="0" wrapText="true" indent="0" shrinkToFit="false"/>
      <protection locked="true" hidden="false"/>
    </xf>
    <xf numFmtId="164" fontId="8" fillId="0" borderId="0" xfId="0" applyFont="true" applyBorder="true" applyAlignment="true" applyProtection="false">
      <alignment horizontal="general" vertical="top" textRotation="0" wrapText="true" indent="0" shrinkToFit="false"/>
      <protection locked="true" hidden="false"/>
    </xf>
    <xf numFmtId="164" fontId="6" fillId="7" borderId="0" xfId="0" applyFont="true" applyBorder="true" applyAlignment="true" applyProtection="false">
      <alignment horizontal="left" vertical="center" textRotation="0" wrapText="false" indent="1" shrinkToFit="false"/>
      <protection locked="true" hidden="false"/>
    </xf>
    <xf numFmtId="164" fontId="6" fillId="8" borderId="0" xfId="0" applyFont="true" applyBorder="true" applyAlignment="true" applyProtection="false">
      <alignment horizontal="left" vertical="center" textRotation="0" wrapText="false" indent="1" shrinkToFit="false"/>
      <protection locked="true" hidden="false"/>
    </xf>
    <xf numFmtId="164" fontId="26" fillId="9" borderId="1" xfId="0" applyFont="true" applyBorder="true" applyAlignment="true" applyProtection="false">
      <alignment horizontal="general" vertical="top" textRotation="0" wrapText="true" indent="0" shrinkToFit="false"/>
      <protection locked="true" hidden="false"/>
    </xf>
    <xf numFmtId="164" fontId="8" fillId="9" borderId="1" xfId="0" applyFont="true" applyBorder="true" applyAlignment="true" applyProtection="false">
      <alignment horizontal="general" vertical="top" textRotation="0" wrapText="true" indent="0" shrinkToFit="false"/>
      <protection locked="true" hidden="false"/>
    </xf>
    <xf numFmtId="164" fontId="27" fillId="10" borderId="1" xfId="0" applyFont="true" applyBorder="true" applyAlignment="true" applyProtection="false">
      <alignment horizontal="general" vertical="top" textRotation="0" wrapText="true" indent="0" shrinkToFit="false"/>
      <protection locked="true" hidden="false"/>
    </xf>
    <xf numFmtId="164" fontId="8" fillId="10" borderId="1" xfId="0" applyFont="true" applyBorder="true" applyAlignment="true" applyProtection="false">
      <alignment horizontal="general" vertical="top" textRotation="0" wrapText="tru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left" vertical="top" textRotation="0" wrapText="true" indent="0" shrinkToFit="false"/>
      <protection locked="true" hidden="false"/>
    </xf>
    <xf numFmtId="164" fontId="11" fillId="6" borderId="1" xfId="0" applyFont="true" applyBorder="true" applyAlignment="true" applyProtection="false">
      <alignment horizontal="general" vertical="top" textRotation="0" wrapText="true" indent="0" shrinkToFit="false"/>
      <protection locked="true" hidden="false"/>
    </xf>
    <xf numFmtId="164" fontId="9" fillId="6"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7">
    <dxf>
      <fill>
        <patternFill patternType="solid">
          <fgColor rgb="FF2E5C9A"/>
          <bgColor rgb="FF000000"/>
        </patternFill>
      </fill>
    </dxf>
    <dxf>
      <fill>
        <patternFill patternType="solid">
          <fgColor rgb="FFF2F6FB"/>
          <bgColor rgb="FF000000"/>
        </patternFill>
      </fill>
    </dxf>
    <dxf>
      <fill>
        <patternFill patternType="solid">
          <bgColor rgb="FF000000"/>
        </patternFill>
      </fill>
    </dxf>
    <dxf>
      <fill>
        <patternFill patternType="solid">
          <fgColor rgb="FF1F3864"/>
          <bgColor rgb="FF000000"/>
        </patternFill>
      </fill>
    </dxf>
    <dxf>
      <fill>
        <patternFill patternType="solid">
          <fgColor rgb="FFFFFFFF"/>
          <bgColor rgb="FF000000"/>
        </patternFill>
      </fill>
    </dxf>
    <dxf>
      <fill>
        <patternFill patternType="solid">
          <fgColor rgb="FF000000"/>
          <bgColor rgb="FF000000"/>
        </patternFill>
      </fill>
    </dxf>
    <dxf>
      <fill>
        <patternFill patternType="solid">
          <fgColor rgb="FF9C0006"/>
          <bgColor rgb="FF000000"/>
        </patternFill>
      </fill>
    </dxf>
  </dxfs>
  <colors>
    <indexedColors>
      <rgbColor rgb="FF000000"/>
      <rgbColor rgb="FFFFFFFF"/>
      <rgbColor rgb="FFC00000"/>
      <rgbColor rgb="FF00FF00"/>
      <rgbColor rgb="FF0000FF"/>
      <rgbColor rgb="FFFFFF00"/>
      <rgbColor rgb="FFFF00FF"/>
      <rgbColor rgb="FF00FFFF"/>
      <rgbColor rgb="FF9C0006"/>
      <rgbColor rgb="FF008000"/>
      <rgbColor rgb="FF000080"/>
      <rgbColor rgb="FF808000"/>
      <rgbColor rgb="FF800080"/>
      <rgbColor rgb="FF008080"/>
      <rgbColor rgb="FFBFBFBF"/>
      <rgbColor rgb="FF808080"/>
      <rgbColor rgb="FF9999FF"/>
      <rgbColor rgb="FF993366"/>
      <rgbColor rgb="FFFFF2CC"/>
      <rgbColor rgb="FFDCE6F1"/>
      <rgbColor rgb="FF660066"/>
      <rgbColor rgb="FFFF8080"/>
      <rgbColor rgb="FF2E5C9A"/>
      <rgbColor rgb="FFCCCCFF"/>
      <rgbColor rgb="FF000080"/>
      <rgbColor rgb="FFFF00FF"/>
      <rgbColor rgb="FFFFFF00"/>
      <rgbColor rgb="FF00FFFF"/>
      <rgbColor rgb="FF800080"/>
      <rgbColor rgb="FF800000"/>
      <rgbColor rgb="FF008080"/>
      <rgbColor rgb="FF0000FF"/>
      <rgbColor rgb="FF00CCFF"/>
      <rgbColor rgb="FFF2F6FB"/>
      <rgbColor rgb="FFE2EFDA"/>
      <rgbColor rgb="FFFFFF99"/>
      <rgbColor rgb="FF99CCFF"/>
      <rgbColor rgb="FFFF99CC"/>
      <rgbColor rgb="FFCC99FF"/>
      <rgbColor rgb="FFFCE4E4"/>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7562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1.vml"/>
</Relationships>
</file>

<file path=xl/worksheets/_rels/sheet5.xml.rels><?xml version="1.0" encoding="UTF-8"?>
<Relationships xmlns="http://schemas.openxmlformats.org/package/2006/relationships"><Relationship Id="rId1" Type="http://schemas.openxmlformats.org/officeDocument/2006/relationships/comments" Target="../comments5.xml"/><Relationship Id="rId2" Type="http://schemas.openxmlformats.org/officeDocument/2006/relationships/vmlDrawing" Target="../drawings/vmlDrawing2.vml"/>
</Relationships>
</file>

<file path=xl/worksheets/_rels/sheet6.xml.rels><?xml version="1.0" encoding="UTF-8"?>
<Relationships xmlns="http://schemas.openxmlformats.org/package/2006/relationships"><Relationship Id="rId1" Type="http://schemas.openxmlformats.org/officeDocument/2006/relationships/comments" Target="../comments6.xml"/><Relationship Id="rId2" Type="http://schemas.openxmlformats.org/officeDocument/2006/relationships/vmlDrawing" Target="../drawings/vmlDrawing3.vml"/>
</Relationships>
</file>

<file path=xl/worksheets/_rels/sheet7.xml.rels><?xml version="1.0" encoding="UTF-8"?>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4.vml"/>
</Relationships>
</file>

<file path=xl/worksheets/_rels/sheet8.xml.rels><?xml version="1.0" encoding="UTF-8"?>
<Relationships xmlns="http://schemas.openxmlformats.org/package/2006/relationships"><Relationship Id="rId1" Type="http://schemas.openxmlformats.org/officeDocument/2006/relationships/drawing" Target="../drawings/drawing1.xml"/>
</Relationships>
</file>

<file path=xl/worksheets/_rels/sheet9.xml.rels><?xml version="1.0" encoding="UTF-8"?>
<Relationships xmlns="http://schemas.openxmlformats.org/package/2006/relationships"><Relationship Id="rId1" Type="http://schemas.openxmlformats.org/officeDocument/2006/relationships/drawing" Target="../drawings/drawing2.xml"/>
</Relationships>
</file>

<file path=xl/worksheets/_rels/sheet10.xml.rels><?xml version="1.0" encoding="UTF-8"?>
<Relationships xmlns="http://schemas.openxmlformats.org/package/2006/relationships"><Relationship Id="rId1" Type="http://schemas.openxmlformats.org/officeDocument/2006/relationships/drawing" Target="../drawings/drawing3.xml"/>
</Relationships>
</file>

<file path=xl/worksheets/_rels/sheet11.xml.rels><?xml version="1.0" encoding="UTF-8"?>
<Relationships xmlns="http://schemas.openxmlformats.org/package/2006/relationships"><Relationship Id="rId1" Type="http://schemas.openxmlformats.org/officeDocument/2006/relationships/drawing" Target="../drawings/drawing4.xml"/>
</Relationships>
</file>

<file path=xl/worksheets/_rels/sheet12.xml.rels><?xml version="1.0" encoding="UTF-8"?>
<Relationships xmlns="http://schemas.openxmlformats.org/package/2006/relationships"><Relationship Id="rId1" Type="http://schemas.openxmlformats.org/officeDocument/2006/relationships/drawing" Target="../drawings/drawing5.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C2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
    <col collapsed="false" customWidth="true" hidden="false" outlineLevel="0" max="2" min="2" style="0" width="32"/>
    <col collapsed="false" customWidth="true" hidden="false" outlineLevel="0" max="3" min="3" style="0" width="118"/>
  </cols>
  <sheetData>
    <row r="1" customFormat="false" ht="30" hidden="false" customHeight="true" outlineLevel="0" collapsed="false">
      <c r="A1" s="1" t="s">
        <v>0</v>
      </c>
      <c r="B1" s="1"/>
      <c r="C1" s="1"/>
    </row>
    <row r="2" customFormat="false" ht="21.75" hidden="false" customHeight="true" outlineLevel="0" collapsed="false">
      <c r="A2" s="2" t="s">
        <v>1</v>
      </c>
      <c r="B2" s="2"/>
      <c r="C2" s="2"/>
    </row>
    <row r="4" customFormat="false" ht="21.75" hidden="false" customHeight="true" outlineLevel="0" collapsed="false">
      <c r="A4" s="3" t="s">
        <v>2</v>
      </c>
      <c r="B4" s="3"/>
      <c r="C4" s="3"/>
    </row>
    <row r="5" customFormat="false" ht="40.5" hidden="false" customHeight="true" outlineLevel="0" collapsed="false">
      <c r="B5" s="4"/>
      <c r="C5" s="5" t="s">
        <v>3</v>
      </c>
    </row>
    <row r="6" customFormat="false" ht="21.75" hidden="false" customHeight="true" outlineLevel="0" collapsed="false">
      <c r="A6" s="3" t="s">
        <v>4</v>
      </c>
      <c r="B6" s="3"/>
      <c r="C6" s="3"/>
    </row>
    <row r="7" customFormat="false" ht="40.5" hidden="false" customHeight="true" outlineLevel="0" collapsed="false">
      <c r="B7" s="4" t="s">
        <v>5</v>
      </c>
      <c r="C7" s="5" t="s">
        <v>6</v>
      </c>
    </row>
    <row r="8" customFormat="false" ht="40.5" hidden="false" customHeight="true" outlineLevel="0" collapsed="false">
      <c r="B8" s="4" t="s">
        <v>7</v>
      </c>
      <c r="C8" s="5" t="s">
        <v>8</v>
      </c>
    </row>
    <row r="9" customFormat="false" ht="15.75" hidden="false" customHeight="true" outlineLevel="0" collapsed="false">
      <c r="B9" s="4" t="s">
        <v>9</v>
      </c>
      <c r="C9" s="5" t="s">
        <v>10</v>
      </c>
    </row>
    <row r="10" customFormat="false" ht="21.75" hidden="false" customHeight="true" outlineLevel="0" collapsed="false">
      <c r="A10" s="3" t="s">
        <v>11</v>
      </c>
      <c r="B10" s="3"/>
      <c r="C10" s="3"/>
    </row>
    <row r="11" customFormat="false" ht="27.75" hidden="false" customHeight="true" outlineLevel="0" collapsed="false">
      <c r="B11" s="4" t="s">
        <v>12</v>
      </c>
      <c r="C11" s="5" t="s">
        <v>13</v>
      </c>
    </row>
    <row r="12" customFormat="false" ht="40.5" hidden="false" customHeight="true" outlineLevel="0" collapsed="false">
      <c r="B12" s="4" t="s">
        <v>14</v>
      </c>
      <c r="C12" s="5" t="s">
        <v>15</v>
      </c>
    </row>
    <row r="13" customFormat="false" ht="27.75" hidden="false" customHeight="true" outlineLevel="0" collapsed="false">
      <c r="B13" s="4" t="s">
        <v>16</v>
      </c>
      <c r="C13" s="5" t="s">
        <v>17</v>
      </c>
    </row>
    <row r="14" customFormat="false" ht="27.75" hidden="false" customHeight="true" outlineLevel="0" collapsed="false">
      <c r="B14" s="4" t="s">
        <v>18</v>
      </c>
      <c r="C14" s="5" t="s">
        <v>19</v>
      </c>
    </row>
    <row r="15" customFormat="false" ht="21.75" hidden="false" customHeight="true" outlineLevel="0" collapsed="false">
      <c r="A15" s="3" t="s">
        <v>20</v>
      </c>
      <c r="B15" s="3"/>
      <c r="C15" s="3"/>
    </row>
    <row r="16" customFormat="false" ht="27.75" hidden="false" customHeight="true" outlineLevel="0" collapsed="false">
      <c r="B16" s="4" t="s">
        <v>21</v>
      </c>
      <c r="C16" s="5" t="s">
        <v>22</v>
      </c>
    </row>
    <row r="17" customFormat="false" ht="21.75" hidden="false" customHeight="true" outlineLevel="0" collapsed="false">
      <c r="A17" s="3" t="s">
        <v>23</v>
      </c>
      <c r="B17" s="3"/>
      <c r="C17" s="3"/>
    </row>
    <row r="18" customFormat="false" ht="27.75" hidden="false" customHeight="true" outlineLevel="0" collapsed="false">
      <c r="B18" s="4" t="s">
        <v>24</v>
      </c>
      <c r="C18" s="5" t="s">
        <v>25</v>
      </c>
    </row>
    <row r="19" customFormat="false" ht="21.75" hidden="false" customHeight="true" outlineLevel="0" collapsed="false">
      <c r="A19" s="3" t="s">
        <v>26</v>
      </c>
      <c r="B19" s="3"/>
      <c r="C19" s="3"/>
    </row>
    <row r="20" customFormat="false" ht="15.75" hidden="false" customHeight="true" outlineLevel="0" collapsed="false">
      <c r="B20" s="4" t="s">
        <v>27</v>
      </c>
      <c r="C20" s="5" t="s">
        <v>28</v>
      </c>
    </row>
    <row r="21" customFormat="false" ht="27.75" hidden="false" customHeight="true" outlineLevel="0" collapsed="false">
      <c r="B21" s="4" t="s">
        <v>29</v>
      </c>
      <c r="C21" s="5" t="s">
        <v>30</v>
      </c>
    </row>
    <row r="22" customFormat="false" ht="15.75" hidden="false" customHeight="true" outlineLevel="0" collapsed="false">
      <c r="B22" s="4" t="s">
        <v>31</v>
      </c>
      <c r="C22" s="5" t="s">
        <v>32</v>
      </c>
    </row>
    <row r="23" customFormat="false" ht="27.75" hidden="false" customHeight="true" outlineLevel="0" collapsed="false">
      <c r="B23" s="4" t="s">
        <v>33</v>
      </c>
      <c r="C23" s="5" t="s">
        <v>34</v>
      </c>
    </row>
    <row r="24" customFormat="false" ht="15.75" hidden="false" customHeight="true" outlineLevel="0" collapsed="false">
      <c r="B24" s="4" t="s">
        <v>35</v>
      </c>
      <c r="C24" s="5" t="s">
        <v>36</v>
      </c>
    </row>
    <row r="25" customFormat="false" ht="15.75" hidden="false" customHeight="true" outlineLevel="0" collapsed="false">
      <c r="B25" s="4" t="s">
        <v>37</v>
      </c>
      <c r="C25" s="5" t="s">
        <v>38</v>
      </c>
    </row>
    <row r="26" customFormat="false" ht="15.75" hidden="false" customHeight="true" outlineLevel="0" collapsed="false">
      <c r="B26" s="4" t="s">
        <v>39</v>
      </c>
      <c r="C26" s="5" t="s">
        <v>40</v>
      </c>
    </row>
    <row r="28" customFormat="false" ht="15" hidden="false" customHeight="false" outlineLevel="0" collapsed="false">
      <c r="B28" s="6" t="s">
        <v>41</v>
      </c>
      <c r="C28" s="6"/>
    </row>
  </sheetData>
  <mergeCells count="9">
    <mergeCell ref="A1:C1"/>
    <mergeCell ref="A2:C2"/>
    <mergeCell ref="A4:C4"/>
    <mergeCell ref="A6:C6"/>
    <mergeCell ref="A10:C10"/>
    <mergeCell ref="A15:C15"/>
    <mergeCell ref="A17:C17"/>
    <mergeCell ref="A19:C19"/>
    <mergeCell ref="B28:C28"/>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13"/>
    <col collapsed="false" customWidth="true" hidden="false" outlineLevel="0" max="2" min="2" style="0" width="26"/>
    <col collapsed="false" customWidth="true" hidden="false" outlineLevel="0" max="3" min="3" style="0" width="18"/>
    <col collapsed="false" customWidth="true" hidden="false" outlineLevel="0" max="4" min="4" style="0" width="20"/>
    <col collapsed="false" customWidth="true" hidden="false" outlineLevel="0" max="5" min="5" style="0" width="34"/>
    <col collapsed="false" customWidth="true" hidden="false" outlineLevel="0" max="6" min="6" style="0" width="58"/>
    <col collapsed="false" customWidth="true" hidden="false" outlineLevel="0" max="7" min="7" style="0" width="50"/>
  </cols>
  <sheetData>
    <row r="1" customFormat="false" ht="30" hidden="false" customHeight="true" outlineLevel="0" collapsed="false">
      <c r="A1" s="1" t="s">
        <v>42</v>
      </c>
      <c r="B1" s="1"/>
      <c r="C1" s="1"/>
      <c r="D1" s="1"/>
      <c r="E1" s="1"/>
      <c r="F1" s="1"/>
      <c r="G1" s="1"/>
    </row>
    <row r="2" customFormat="false" ht="21.75" hidden="false" customHeight="true" outlineLevel="0" collapsed="false">
      <c r="A2" s="2" t="s">
        <v>43</v>
      </c>
      <c r="B2" s="2"/>
      <c r="C2" s="2"/>
      <c r="D2" s="2"/>
      <c r="E2" s="2"/>
      <c r="F2" s="2"/>
      <c r="G2" s="2"/>
    </row>
    <row r="3" customFormat="false" ht="30" hidden="false" customHeight="true" outlineLevel="0" collapsed="false">
      <c r="A3" s="7" t="s">
        <v>44</v>
      </c>
      <c r="B3" s="7" t="s">
        <v>45</v>
      </c>
      <c r="C3" s="7" t="s">
        <v>46</v>
      </c>
      <c r="D3" s="7" t="s">
        <v>47</v>
      </c>
      <c r="E3" s="7" t="s">
        <v>48</v>
      </c>
      <c r="F3" s="7" t="s">
        <v>49</v>
      </c>
      <c r="G3" s="7" t="s">
        <v>50</v>
      </c>
    </row>
    <row r="4" customFormat="false" ht="27.75" hidden="false" customHeight="true" outlineLevel="0" collapsed="false">
      <c r="A4" s="8" t="s">
        <v>51</v>
      </c>
      <c r="B4" s="9" t="s">
        <v>52</v>
      </c>
      <c r="C4" s="9" t="s">
        <v>53</v>
      </c>
      <c r="D4" s="9" t="s">
        <v>54</v>
      </c>
      <c r="E4" s="9" t="s">
        <v>55</v>
      </c>
      <c r="F4" s="9" t="s">
        <v>56</v>
      </c>
      <c r="G4" s="9" t="s">
        <v>57</v>
      </c>
    </row>
    <row r="5" customFormat="false" ht="40.5" hidden="false" customHeight="true" outlineLevel="0" collapsed="false">
      <c r="A5" s="10" t="s">
        <v>51</v>
      </c>
      <c r="B5" s="11" t="s">
        <v>58</v>
      </c>
      <c r="C5" s="11" t="s">
        <v>59</v>
      </c>
      <c r="D5" s="11" t="s">
        <v>60</v>
      </c>
      <c r="E5" s="11" t="s">
        <v>61</v>
      </c>
      <c r="F5" s="11" t="s">
        <v>62</v>
      </c>
      <c r="G5" s="11" t="s">
        <v>63</v>
      </c>
    </row>
    <row r="6" customFormat="false" ht="27.75" hidden="false" customHeight="true" outlineLevel="0" collapsed="false">
      <c r="A6" s="8" t="s">
        <v>51</v>
      </c>
      <c r="B6" s="9" t="s">
        <v>64</v>
      </c>
      <c r="C6" s="9" t="s">
        <v>65</v>
      </c>
      <c r="D6" s="9" t="s">
        <v>66</v>
      </c>
      <c r="E6" s="9" t="s">
        <v>67</v>
      </c>
      <c r="F6" s="9" t="s">
        <v>68</v>
      </c>
      <c r="G6" s="9" t="s">
        <v>69</v>
      </c>
    </row>
    <row r="7" customFormat="false" ht="27.75" hidden="false" customHeight="true" outlineLevel="0" collapsed="false">
      <c r="A7" s="10" t="s">
        <v>70</v>
      </c>
      <c r="B7" s="11" t="s">
        <v>52</v>
      </c>
      <c r="C7" s="11" t="s">
        <v>53</v>
      </c>
      <c r="D7" s="11" t="s">
        <v>54</v>
      </c>
      <c r="E7" s="11" t="s">
        <v>71</v>
      </c>
      <c r="F7" s="11" t="s">
        <v>72</v>
      </c>
      <c r="G7" s="11" t="s">
        <v>73</v>
      </c>
    </row>
    <row r="8" customFormat="false" ht="52.5" hidden="false" customHeight="true" outlineLevel="0" collapsed="false">
      <c r="A8" s="8" t="s">
        <v>70</v>
      </c>
      <c r="B8" s="9" t="s">
        <v>74</v>
      </c>
      <c r="C8" s="9" t="s">
        <v>75</v>
      </c>
      <c r="D8" s="9" t="s">
        <v>76</v>
      </c>
      <c r="E8" s="9" t="s">
        <v>77</v>
      </c>
      <c r="F8" s="9" t="s">
        <v>78</v>
      </c>
      <c r="G8" s="9" t="s">
        <v>79</v>
      </c>
    </row>
    <row r="9" customFormat="false" ht="40.5" hidden="false" customHeight="true" outlineLevel="0" collapsed="false">
      <c r="A9" s="10" t="s">
        <v>70</v>
      </c>
      <c r="B9" s="11" t="s">
        <v>80</v>
      </c>
      <c r="C9" s="11" t="s">
        <v>75</v>
      </c>
      <c r="D9" s="11" t="s">
        <v>81</v>
      </c>
      <c r="E9" s="11" t="s">
        <v>82</v>
      </c>
      <c r="F9" s="11" t="s">
        <v>83</v>
      </c>
      <c r="G9" s="11" t="s">
        <v>84</v>
      </c>
    </row>
    <row r="10" customFormat="false" ht="27.75" hidden="false" customHeight="true" outlineLevel="0" collapsed="false">
      <c r="A10" s="8" t="s">
        <v>70</v>
      </c>
      <c r="B10" s="9" t="s">
        <v>85</v>
      </c>
      <c r="C10" s="9" t="s">
        <v>86</v>
      </c>
      <c r="D10" s="9" t="s">
        <v>87</v>
      </c>
      <c r="E10" s="9" t="s">
        <v>88</v>
      </c>
      <c r="F10" s="9" t="s">
        <v>89</v>
      </c>
      <c r="G10" s="9" t="s">
        <v>90</v>
      </c>
    </row>
    <row r="11" customFormat="false" ht="27.75" hidden="false" customHeight="true" outlineLevel="0" collapsed="false">
      <c r="A11" s="10" t="s">
        <v>75</v>
      </c>
      <c r="B11" s="11" t="s">
        <v>52</v>
      </c>
      <c r="C11" s="11" t="s">
        <v>53</v>
      </c>
      <c r="D11" s="11" t="s">
        <v>87</v>
      </c>
      <c r="E11" s="11" t="s">
        <v>91</v>
      </c>
      <c r="F11" s="11" t="s">
        <v>92</v>
      </c>
      <c r="G11" s="11" t="s">
        <v>93</v>
      </c>
    </row>
    <row r="12" customFormat="false" ht="52.5" hidden="false" customHeight="true" outlineLevel="0" collapsed="false">
      <c r="A12" s="8" t="s">
        <v>75</v>
      </c>
      <c r="B12" s="9" t="s">
        <v>94</v>
      </c>
      <c r="C12" s="9" t="s">
        <v>95</v>
      </c>
      <c r="D12" s="9" t="s">
        <v>76</v>
      </c>
      <c r="E12" s="9" t="s">
        <v>96</v>
      </c>
      <c r="F12" s="9" t="s">
        <v>97</v>
      </c>
      <c r="G12" s="9" t="s">
        <v>98</v>
      </c>
    </row>
    <row r="13" customFormat="false" ht="40.5" hidden="false" customHeight="true" outlineLevel="0" collapsed="false">
      <c r="A13" s="10" t="s">
        <v>75</v>
      </c>
      <c r="B13" s="11" t="s">
        <v>99</v>
      </c>
      <c r="C13" s="11" t="s">
        <v>100</v>
      </c>
      <c r="D13" s="11" t="s">
        <v>101</v>
      </c>
      <c r="E13" s="11" t="s">
        <v>102</v>
      </c>
      <c r="F13" s="11" t="s">
        <v>103</v>
      </c>
      <c r="G13" s="11" t="s">
        <v>104</v>
      </c>
    </row>
    <row r="14" customFormat="false" ht="27.75" hidden="false" customHeight="true" outlineLevel="0" collapsed="false">
      <c r="A14" s="8" t="s">
        <v>75</v>
      </c>
      <c r="B14" s="9" t="s">
        <v>105</v>
      </c>
      <c r="C14" s="9" t="s">
        <v>106</v>
      </c>
      <c r="D14" s="9" t="s">
        <v>60</v>
      </c>
      <c r="E14" s="9" t="s">
        <v>107</v>
      </c>
      <c r="F14" s="9" t="s">
        <v>108</v>
      </c>
      <c r="G14" s="9" t="s">
        <v>109</v>
      </c>
    </row>
    <row r="15" customFormat="false" ht="27.75" hidden="false" customHeight="true" outlineLevel="0" collapsed="false">
      <c r="A15" s="10" t="s">
        <v>110</v>
      </c>
      <c r="B15" s="11" t="s">
        <v>52</v>
      </c>
      <c r="C15" s="11" t="s">
        <v>53</v>
      </c>
      <c r="D15" s="11" t="s">
        <v>87</v>
      </c>
      <c r="E15" s="11" t="s">
        <v>111</v>
      </c>
      <c r="F15" s="11" t="s">
        <v>112</v>
      </c>
      <c r="G15" s="11" t="s">
        <v>113</v>
      </c>
    </row>
    <row r="16" customFormat="false" ht="27.75" hidden="false" customHeight="true" outlineLevel="0" collapsed="false">
      <c r="A16" s="8" t="s">
        <v>110</v>
      </c>
      <c r="B16" s="9" t="s">
        <v>114</v>
      </c>
      <c r="C16" s="9" t="s">
        <v>115</v>
      </c>
      <c r="D16" s="9" t="s">
        <v>76</v>
      </c>
      <c r="E16" s="9" t="s">
        <v>116</v>
      </c>
      <c r="F16" s="9" t="s">
        <v>117</v>
      </c>
      <c r="G16" s="9" t="s">
        <v>118</v>
      </c>
    </row>
    <row r="17" customFormat="false" ht="40.5" hidden="false" customHeight="true" outlineLevel="0" collapsed="false">
      <c r="A17" s="10" t="s">
        <v>110</v>
      </c>
      <c r="B17" s="11" t="s">
        <v>119</v>
      </c>
      <c r="C17" s="11" t="s">
        <v>120</v>
      </c>
      <c r="D17" s="11" t="s">
        <v>121</v>
      </c>
      <c r="E17" s="11" t="s">
        <v>122</v>
      </c>
      <c r="F17" s="11" t="s">
        <v>123</v>
      </c>
      <c r="G17" s="11" t="s">
        <v>124</v>
      </c>
    </row>
    <row r="18" customFormat="false" ht="27.75" hidden="false" customHeight="true" outlineLevel="0" collapsed="false">
      <c r="A18" s="8" t="s">
        <v>110</v>
      </c>
      <c r="B18" s="9" t="s">
        <v>125</v>
      </c>
      <c r="C18" s="9" t="s">
        <v>126</v>
      </c>
      <c r="D18" s="9" t="s">
        <v>76</v>
      </c>
      <c r="E18" s="9" t="s">
        <v>127</v>
      </c>
      <c r="F18" s="9" t="s">
        <v>128</v>
      </c>
      <c r="G18" s="9" t="s">
        <v>129</v>
      </c>
    </row>
    <row r="19" customFormat="false" ht="27.75" hidden="false" customHeight="true" outlineLevel="0" collapsed="false">
      <c r="A19" s="10" t="s">
        <v>110</v>
      </c>
      <c r="B19" s="11" t="s">
        <v>130</v>
      </c>
      <c r="C19" s="11" t="s">
        <v>131</v>
      </c>
      <c r="D19" s="11" t="s">
        <v>60</v>
      </c>
      <c r="E19" s="11" t="s">
        <v>132</v>
      </c>
      <c r="F19" s="11" t="s">
        <v>133</v>
      </c>
      <c r="G19" s="11" t="s">
        <v>134</v>
      </c>
    </row>
  </sheetData>
  <mergeCells count="2">
    <mergeCell ref="A1:G1"/>
    <mergeCell ref="A2:G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0"/>
    <col collapsed="false" customWidth="true" hidden="false" outlineLevel="0" max="3" min="2" style="0" width="43"/>
    <col collapsed="false" customWidth="true" hidden="false" outlineLevel="0" max="5" min="4" style="0" width="46"/>
  </cols>
  <sheetData>
    <row r="1" customFormat="false" ht="30" hidden="false" customHeight="true" outlineLevel="0" collapsed="false">
      <c r="A1" s="1" t="s">
        <v>135</v>
      </c>
      <c r="B1" s="1"/>
      <c r="C1" s="1"/>
      <c r="D1" s="1"/>
      <c r="E1" s="1"/>
    </row>
    <row r="2" customFormat="false" ht="21.75" hidden="false" customHeight="true" outlineLevel="0" collapsed="false">
      <c r="A2" s="2" t="s">
        <v>136</v>
      </c>
      <c r="B2" s="2"/>
      <c r="C2" s="2"/>
      <c r="D2" s="2"/>
      <c r="E2" s="2"/>
    </row>
    <row r="3" customFormat="false" ht="30" hidden="false" customHeight="true" outlineLevel="0" collapsed="false">
      <c r="A3" s="7" t="s">
        <v>137</v>
      </c>
      <c r="B3" s="7" t="s">
        <v>51</v>
      </c>
      <c r="C3" s="7" t="s">
        <v>70</v>
      </c>
      <c r="D3" s="7" t="s">
        <v>75</v>
      </c>
      <c r="E3" s="7" t="s">
        <v>110</v>
      </c>
    </row>
    <row r="4" customFormat="false" ht="52.5" hidden="false" customHeight="true" outlineLevel="0" collapsed="false">
      <c r="A4" s="8" t="s">
        <v>138</v>
      </c>
      <c r="B4" s="9" t="s">
        <v>139</v>
      </c>
      <c r="C4" s="9" t="s">
        <v>140</v>
      </c>
      <c r="D4" s="9" t="s">
        <v>141</v>
      </c>
      <c r="E4" s="9" t="s">
        <v>142</v>
      </c>
    </row>
    <row r="5" customFormat="false" ht="52.5" hidden="false" customHeight="true" outlineLevel="0" collapsed="false">
      <c r="A5" s="10" t="s">
        <v>143</v>
      </c>
      <c r="B5" s="11" t="s">
        <v>144</v>
      </c>
      <c r="C5" s="11" t="s">
        <v>145</v>
      </c>
      <c r="D5" s="11" t="s">
        <v>146</v>
      </c>
      <c r="E5" s="11" t="s">
        <v>147</v>
      </c>
    </row>
    <row r="6" customFormat="false" ht="52.5" hidden="false" customHeight="true" outlineLevel="0" collapsed="false">
      <c r="A6" s="8" t="s">
        <v>148</v>
      </c>
      <c r="B6" s="9" t="s">
        <v>149</v>
      </c>
      <c r="C6" s="9" t="s">
        <v>150</v>
      </c>
      <c r="D6" s="9" t="s">
        <v>151</v>
      </c>
      <c r="E6" s="9" t="s">
        <v>152</v>
      </c>
    </row>
    <row r="7" customFormat="false" ht="52.5" hidden="false" customHeight="true" outlineLevel="0" collapsed="false">
      <c r="A7" s="10" t="s">
        <v>153</v>
      </c>
      <c r="B7" s="11" t="s">
        <v>154</v>
      </c>
      <c r="C7" s="11" t="s">
        <v>155</v>
      </c>
      <c r="D7" s="11" t="s">
        <v>156</v>
      </c>
      <c r="E7" s="11" t="s">
        <v>157</v>
      </c>
    </row>
    <row r="8" customFormat="false" ht="52.5" hidden="false" customHeight="true" outlineLevel="0" collapsed="false">
      <c r="A8" s="8" t="s">
        <v>158</v>
      </c>
      <c r="B8" s="9" t="s">
        <v>159</v>
      </c>
      <c r="C8" s="9" t="s">
        <v>160</v>
      </c>
      <c r="D8" s="9" t="s">
        <v>161</v>
      </c>
      <c r="E8" s="9" t="s">
        <v>162</v>
      </c>
    </row>
    <row r="9" customFormat="false" ht="52.5" hidden="false" customHeight="true" outlineLevel="0" collapsed="false">
      <c r="A9" s="10" t="s">
        <v>163</v>
      </c>
      <c r="B9" s="11" t="s">
        <v>164</v>
      </c>
      <c r="C9" s="11" t="s">
        <v>165</v>
      </c>
      <c r="D9" s="11" t="s">
        <v>166</v>
      </c>
      <c r="E9" s="11" t="s">
        <v>167</v>
      </c>
    </row>
    <row r="10" customFormat="false" ht="40.5" hidden="false" customHeight="true" outlineLevel="0" collapsed="false">
      <c r="A10" s="8" t="s">
        <v>168</v>
      </c>
      <c r="B10" s="9" t="s">
        <v>169</v>
      </c>
      <c r="C10" s="9" t="s">
        <v>170</v>
      </c>
      <c r="D10" s="9" t="s">
        <v>171</v>
      </c>
      <c r="E10" s="9" t="s">
        <v>172</v>
      </c>
    </row>
    <row r="11" customFormat="false" ht="40.5" hidden="false" customHeight="true" outlineLevel="0" collapsed="false">
      <c r="A11" s="10" t="s">
        <v>173</v>
      </c>
      <c r="B11" s="11" t="s">
        <v>174</v>
      </c>
      <c r="C11" s="11" t="s">
        <v>175</v>
      </c>
      <c r="D11" s="11" t="s">
        <v>176</v>
      </c>
      <c r="E11" s="11" t="s">
        <v>177</v>
      </c>
    </row>
    <row r="12" customFormat="false" ht="40.5" hidden="false" customHeight="true" outlineLevel="0" collapsed="false">
      <c r="A12" s="8" t="s">
        <v>178</v>
      </c>
      <c r="B12" s="9" t="s">
        <v>179</v>
      </c>
      <c r="C12" s="9" t="s">
        <v>180</v>
      </c>
      <c r="D12" s="9" t="s">
        <v>181</v>
      </c>
      <c r="E12" s="9" t="s">
        <v>182</v>
      </c>
    </row>
    <row r="13" customFormat="false" ht="40.5" hidden="false" customHeight="true" outlineLevel="0" collapsed="false">
      <c r="A13" s="10" t="s">
        <v>183</v>
      </c>
      <c r="B13" s="11" t="s">
        <v>184</v>
      </c>
      <c r="C13" s="11" t="s">
        <v>185</v>
      </c>
      <c r="D13" s="11" t="s">
        <v>186</v>
      </c>
      <c r="E13" s="11" t="s">
        <v>187</v>
      </c>
    </row>
  </sheetData>
  <mergeCells count="2">
    <mergeCell ref="A1:E1"/>
    <mergeCell ref="A2:E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0" topLeftCell="A11"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34"/>
    <col collapsed="false" customWidth="true" hidden="false" outlineLevel="0" max="2" min="2" style="0" width="9"/>
    <col collapsed="false" customWidth="true" hidden="false" outlineLevel="0" max="3" min="3" style="0" width="52"/>
    <col collapsed="false" customWidth="true" hidden="false" outlineLevel="0" max="5" min="4" style="0" width="11"/>
    <col collapsed="false" customWidth="true" hidden="false" outlineLevel="0" max="6" min="6" style="0" width="12"/>
    <col collapsed="false" customWidth="true" hidden="false" outlineLevel="0" max="7" min="7" style="0" width="52"/>
  </cols>
  <sheetData>
    <row r="1" customFormat="false" ht="30" hidden="false" customHeight="true" outlineLevel="0" collapsed="false">
      <c r="A1" s="1" t="s">
        <v>188</v>
      </c>
      <c r="B1" s="1"/>
      <c r="C1" s="1"/>
      <c r="D1" s="1"/>
      <c r="E1" s="1"/>
      <c r="F1" s="1"/>
      <c r="G1" s="1"/>
    </row>
    <row r="2" customFormat="false" ht="21.75" hidden="false" customHeight="true" outlineLevel="0" collapsed="false">
      <c r="A2" s="2" t="s">
        <v>189</v>
      </c>
      <c r="B2" s="2"/>
      <c r="C2" s="2"/>
      <c r="D2" s="2"/>
      <c r="E2" s="2"/>
      <c r="F2" s="2"/>
      <c r="G2" s="2"/>
    </row>
    <row r="4" customFormat="false" ht="18" hidden="false" customHeight="true" outlineLevel="0" collapsed="false">
      <c r="A4" s="4" t="s">
        <v>190</v>
      </c>
      <c r="B4" s="12"/>
      <c r="C4" s="12"/>
    </row>
    <row r="5" customFormat="false" ht="18" hidden="false" customHeight="true" outlineLevel="0" collapsed="false">
      <c r="A5" s="4" t="s">
        <v>191</v>
      </c>
      <c r="B5" s="12"/>
      <c r="C5" s="12"/>
    </row>
    <row r="6" customFormat="false" ht="18" hidden="false" customHeight="true" outlineLevel="0" collapsed="false">
      <c r="A6" s="4" t="s">
        <v>192</v>
      </c>
      <c r="B6" s="12"/>
      <c r="C6" s="12"/>
    </row>
    <row r="7" customFormat="false" ht="18" hidden="false" customHeight="true" outlineLevel="0" collapsed="false">
      <c r="A7" s="4" t="s">
        <v>45</v>
      </c>
      <c r="B7" s="12"/>
      <c r="C7" s="12"/>
    </row>
    <row r="8" customFormat="false" ht="18" hidden="false" customHeight="true" outlineLevel="0" collapsed="false">
      <c r="A8" s="4" t="s">
        <v>193</v>
      </c>
      <c r="B8" s="12"/>
      <c r="C8" s="12"/>
    </row>
    <row r="10" customFormat="false" ht="30" hidden="false" customHeight="true" outlineLevel="0" collapsed="false">
      <c r="A10" s="7" t="s">
        <v>137</v>
      </c>
      <c r="B10" s="7" t="s">
        <v>194</v>
      </c>
      <c r="C10" s="7" t="s">
        <v>195</v>
      </c>
      <c r="D10" s="7" t="s">
        <v>196</v>
      </c>
      <c r="E10" s="7" t="s">
        <v>197</v>
      </c>
      <c r="F10" s="7" t="s">
        <v>198</v>
      </c>
      <c r="G10" s="7" t="s">
        <v>199</v>
      </c>
    </row>
    <row r="11" customFormat="false" ht="33.75" hidden="false" customHeight="true" outlineLevel="0" collapsed="false">
      <c r="A11" s="13" t="s">
        <v>200</v>
      </c>
      <c r="B11" s="14" t="n">
        <v>0.08</v>
      </c>
      <c r="C11" s="15" t="s">
        <v>201</v>
      </c>
      <c r="D11" s="16"/>
      <c r="E11" s="17" t="str">
        <f aca="false">IF(D11="","",D11/4*B11)</f>
        <v/>
      </c>
      <c r="F11" s="18" t="s">
        <v>202</v>
      </c>
      <c r="G11" s="19"/>
    </row>
    <row r="12" customFormat="false" ht="33.75" hidden="false" customHeight="true" outlineLevel="0" collapsed="false">
      <c r="A12" s="13" t="s">
        <v>203</v>
      </c>
      <c r="B12" s="14" t="n">
        <v>0.07</v>
      </c>
      <c r="C12" s="15" t="s">
        <v>204</v>
      </c>
      <c r="D12" s="16"/>
      <c r="E12" s="17" t="str">
        <f aca="false">IF(D12="","",D12/4*B12)</f>
        <v/>
      </c>
      <c r="F12" s="18" t="s">
        <v>202</v>
      </c>
      <c r="G12" s="19"/>
    </row>
    <row r="13" customFormat="false" ht="33.75" hidden="false" customHeight="true" outlineLevel="0" collapsed="false">
      <c r="A13" s="13" t="s">
        <v>205</v>
      </c>
      <c r="B13" s="14" t="n">
        <v>0.15</v>
      </c>
      <c r="C13" s="15" t="s">
        <v>206</v>
      </c>
      <c r="D13" s="16"/>
      <c r="E13" s="17" t="str">
        <f aca="false">IF(D13="","",D13/4*B13)</f>
        <v/>
      </c>
      <c r="F13" s="20" t="s">
        <v>207</v>
      </c>
      <c r="G13" s="19"/>
    </row>
    <row r="14" customFormat="false" ht="33.75" hidden="false" customHeight="true" outlineLevel="0" collapsed="false">
      <c r="A14" s="13" t="s">
        <v>208</v>
      </c>
      <c r="B14" s="14" t="n">
        <v>0.05</v>
      </c>
      <c r="C14" s="15" t="s">
        <v>209</v>
      </c>
      <c r="D14" s="16"/>
      <c r="E14" s="17" t="str">
        <f aca="false">IF(D14="","",D14/4*B14)</f>
        <v/>
      </c>
      <c r="F14" s="18" t="s">
        <v>202</v>
      </c>
      <c r="G14" s="19"/>
    </row>
    <row r="15" customFormat="false" ht="33.75" hidden="false" customHeight="true" outlineLevel="0" collapsed="false">
      <c r="A15" s="13" t="s">
        <v>210</v>
      </c>
      <c r="B15" s="14" t="n">
        <v>0.15</v>
      </c>
      <c r="C15" s="15" t="s">
        <v>211</v>
      </c>
      <c r="D15" s="16"/>
      <c r="E15" s="17" t="str">
        <f aca="false">IF(D15="","",D15/4*B15)</f>
        <v/>
      </c>
      <c r="F15" s="20" t="s">
        <v>207</v>
      </c>
      <c r="G15" s="19"/>
    </row>
    <row r="16" customFormat="false" ht="33.75" hidden="false" customHeight="true" outlineLevel="0" collapsed="false">
      <c r="A16" s="13" t="s">
        <v>212</v>
      </c>
      <c r="B16" s="14" t="n">
        <v>0.1</v>
      </c>
      <c r="C16" s="15" t="s">
        <v>213</v>
      </c>
      <c r="D16" s="16"/>
      <c r="E16" s="17" t="str">
        <f aca="false">IF(D16="","",D16/4*B16)</f>
        <v/>
      </c>
      <c r="F16" s="18" t="s">
        <v>202</v>
      </c>
      <c r="G16" s="19"/>
    </row>
    <row r="17" customFormat="false" ht="33.75" hidden="false" customHeight="true" outlineLevel="0" collapsed="false">
      <c r="A17" s="13" t="s">
        <v>214</v>
      </c>
      <c r="B17" s="14" t="n">
        <v>0.1</v>
      </c>
      <c r="C17" s="15" t="s">
        <v>215</v>
      </c>
      <c r="D17" s="16"/>
      <c r="E17" s="17" t="str">
        <f aca="false">IF(D17="","",D17/4*B17)</f>
        <v/>
      </c>
      <c r="F17" s="18" t="s">
        <v>202</v>
      </c>
      <c r="G17" s="19"/>
    </row>
    <row r="18" customFormat="false" ht="33.75" hidden="false" customHeight="true" outlineLevel="0" collapsed="false">
      <c r="A18" s="13" t="s">
        <v>173</v>
      </c>
      <c r="B18" s="14" t="n">
        <v>0.2</v>
      </c>
      <c r="C18" s="15" t="s">
        <v>216</v>
      </c>
      <c r="D18" s="16"/>
      <c r="E18" s="17" t="str">
        <f aca="false">IF(D18="","",D18/4*B18)</f>
        <v/>
      </c>
      <c r="F18" s="20" t="s">
        <v>207</v>
      </c>
      <c r="G18" s="19"/>
    </row>
    <row r="19" customFormat="false" ht="33.75" hidden="false" customHeight="true" outlineLevel="0" collapsed="false">
      <c r="A19" s="13" t="s">
        <v>217</v>
      </c>
      <c r="B19" s="14" t="n">
        <v>0.08</v>
      </c>
      <c r="C19" s="15" t="s">
        <v>218</v>
      </c>
      <c r="D19" s="16"/>
      <c r="E19" s="17" t="str">
        <f aca="false">IF(D19="","",D19/4*B19)</f>
        <v/>
      </c>
      <c r="F19" s="20" t="s">
        <v>207</v>
      </c>
      <c r="G19" s="19"/>
    </row>
    <row r="20" customFormat="false" ht="33.75" hidden="false" customHeight="true" outlineLevel="0" collapsed="false">
      <c r="A20" s="13" t="s">
        <v>219</v>
      </c>
      <c r="B20" s="14" t="n">
        <v>0.02</v>
      </c>
      <c r="C20" s="15" t="s">
        <v>220</v>
      </c>
      <c r="D20" s="16"/>
      <c r="E20" s="17" t="str">
        <f aca="false">IF(D20="","",D20/4*B20)</f>
        <v/>
      </c>
      <c r="F20" s="18" t="s">
        <v>202</v>
      </c>
      <c r="G20" s="19"/>
    </row>
    <row r="21" customFormat="false" ht="24" hidden="false" customHeight="true" outlineLevel="0" collapsed="false">
      <c r="A21" s="21" t="s">
        <v>221</v>
      </c>
      <c r="B21" s="22" t="n">
        <f aca="false">SUM(B11:B20)</f>
        <v>1</v>
      </c>
      <c r="C21" s="23"/>
      <c r="D21" s="23"/>
      <c r="E21" s="24" t="n">
        <f aca="false">SUM(E11:E20)</f>
        <v>0</v>
      </c>
      <c r="F21" s="23"/>
      <c r="G21" s="23"/>
    </row>
    <row r="23" customFormat="false" ht="21.75" hidden="false" customHeight="true" outlineLevel="0" collapsed="false">
      <c r="A23" s="25" t="s">
        <v>222</v>
      </c>
      <c r="B23" s="26" t="n">
        <f aca="false">E21</f>
        <v>0</v>
      </c>
      <c r="C23" s="26"/>
      <c r="D23" s="26"/>
      <c r="E23" s="26"/>
    </row>
    <row r="24" customFormat="false" ht="21.75" hidden="false" customHeight="true" outlineLevel="0" collapsed="false">
      <c r="A24" s="25" t="s">
        <v>16</v>
      </c>
      <c r="B24" s="27" t="str">
        <f aca="false">IF(COUNT(D11:D20)&lt;10,"Not yet complete - rate all 10 competencies",IF(SUMPRODUCT((F11:F20="Yes")*(D11:D20=1))&gt;0,"FAILED - a must-pass competency scored 1","Passed"))</f>
        <v>Not yet complete - rate all 10 competencies</v>
      </c>
      <c r="C24" s="27"/>
      <c r="D24" s="27"/>
      <c r="E24" s="27"/>
    </row>
    <row r="25" customFormat="false" ht="21.75" hidden="false" customHeight="true" outlineLevel="0" collapsed="false">
      <c r="A25" s="25" t="s">
        <v>223</v>
      </c>
      <c r="B25" s="27" t="str">
        <f aca="false">IF(COUNT(D11:D20)&lt;10,"Complete all 10 ratings",IF(SUMPRODUCT((F11:F20="Yes")*(D11:D20=1))&gt;0,"NO HIRE - must-pass competency failed",IF(E21&gt;=0.9,"STRONG HIRE",IF(E21&gt;=0.75,"HIRE",IF(E21&gt;=0.6,"BORDERLINE - second opinion, or offer one level down","NO HIRE")))))</f>
        <v>Complete all 10 ratings</v>
      </c>
      <c r="C25" s="27"/>
      <c r="D25" s="27"/>
      <c r="E25" s="27"/>
    </row>
    <row r="27" customFormat="false" ht="19.5" hidden="false" customHeight="true" outlineLevel="0" collapsed="false">
      <c r="A27" s="3" t="s">
        <v>224</v>
      </c>
      <c r="B27" s="3"/>
      <c r="C27" s="3"/>
      <c r="D27" s="3"/>
      <c r="E27" s="3"/>
      <c r="F27" s="3"/>
      <c r="G27" s="3"/>
    </row>
    <row r="28" customFormat="false" ht="33.75" hidden="false" customHeight="true" outlineLevel="0" collapsed="false">
      <c r="A28" s="28" t="s">
        <v>225</v>
      </c>
      <c r="B28" s="28"/>
      <c r="C28" s="28"/>
      <c r="D28" s="28"/>
      <c r="E28" s="28"/>
      <c r="F28" s="28"/>
      <c r="G28" s="28"/>
    </row>
    <row r="30" customFormat="false" ht="15" hidden="false" customHeight="false" outlineLevel="0" collapsed="false">
      <c r="A30" s="29" t="s">
        <v>226</v>
      </c>
      <c r="B30" s="29"/>
      <c r="C30" s="29"/>
      <c r="D30" s="29"/>
      <c r="E30" s="29"/>
      <c r="F30" s="29"/>
      <c r="G30" s="29"/>
    </row>
    <row r="31" customFormat="false" ht="15" hidden="false" customHeight="false" outlineLevel="0" collapsed="false">
      <c r="A31" s="30"/>
      <c r="B31" s="30"/>
      <c r="C31" s="30"/>
      <c r="D31" s="30"/>
      <c r="E31" s="30"/>
      <c r="F31" s="30"/>
      <c r="G31" s="30"/>
    </row>
    <row r="32" customFormat="false" ht="15" hidden="false" customHeight="false" outlineLevel="0" collapsed="false">
      <c r="A32" s="30"/>
      <c r="B32" s="30"/>
      <c r="C32" s="30"/>
      <c r="D32" s="30"/>
      <c r="E32" s="30"/>
      <c r="F32" s="30"/>
      <c r="G32" s="30"/>
    </row>
    <row r="33" customFormat="false" ht="15" hidden="false" customHeight="false" outlineLevel="0" collapsed="false">
      <c r="A33" s="30"/>
      <c r="B33" s="30"/>
      <c r="C33" s="30"/>
      <c r="D33" s="30"/>
      <c r="E33" s="30"/>
      <c r="F33" s="30"/>
      <c r="G33" s="30"/>
    </row>
    <row r="34" customFormat="false" ht="15" hidden="false" customHeight="false" outlineLevel="0" collapsed="false">
      <c r="A34" s="30"/>
      <c r="B34" s="30"/>
      <c r="C34" s="30"/>
      <c r="D34" s="30"/>
      <c r="E34" s="30"/>
      <c r="F34" s="30"/>
      <c r="G34" s="30"/>
    </row>
    <row r="35" customFormat="false" ht="15" hidden="false" customHeight="false" outlineLevel="0" collapsed="false">
      <c r="A35" s="30"/>
      <c r="B35" s="30"/>
      <c r="C35" s="30"/>
      <c r="D35" s="30"/>
      <c r="E35" s="30"/>
      <c r="F35" s="30"/>
      <c r="G35" s="30"/>
    </row>
    <row r="36" customFormat="false" ht="15" hidden="false" customHeight="false" outlineLevel="0" collapsed="false">
      <c r="A36" s="30"/>
      <c r="B36" s="30"/>
      <c r="C36" s="30"/>
      <c r="D36" s="30"/>
      <c r="E36" s="30"/>
      <c r="F36" s="30"/>
      <c r="G36" s="30"/>
    </row>
  </sheetData>
  <mergeCells count="14">
    <mergeCell ref="A1:G1"/>
    <mergeCell ref="A2:G2"/>
    <mergeCell ref="B4:C4"/>
    <mergeCell ref="B5:C5"/>
    <mergeCell ref="B6:C6"/>
    <mergeCell ref="B7:C7"/>
    <mergeCell ref="B8:C8"/>
    <mergeCell ref="B23:E23"/>
    <mergeCell ref="B24:E24"/>
    <mergeCell ref="B25:E25"/>
    <mergeCell ref="A27:G27"/>
    <mergeCell ref="A28:G28"/>
    <mergeCell ref="A30:G30"/>
    <mergeCell ref="A31:G36"/>
  </mergeCells>
  <dataValidations count="1">
    <dataValidation allowBlank="true" error="Enter a whole number from 1 to 4." errorStyle="stop" errorTitle="Rating must be 1-4" operator="between" showDropDown="false" showErrorMessage="true" showInputMessage="false" sqref="D11:D20" type="whole">
      <formula1>1</formula1>
      <formula2>4</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0" topLeftCell="A11"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34"/>
    <col collapsed="false" customWidth="true" hidden="false" outlineLevel="0" max="2" min="2" style="0" width="9"/>
    <col collapsed="false" customWidth="true" hidden="false" outlineLevel="0" max="3" min="3" style="0" width="52"/>
    <col collapsed="false" customWidth="true" hidden="false" outlineLevel="0" max="5" min="4" style="0" width="11"/>
    <col collapsed="false" customWidth="true" hidden="false" outlineLevel="0" max="6" min="6" style="0" width="12"/>
    <col collapsed="false" customWidth="true" hidden="false" outlineLevel="0" max="7" min="7" style="0" width="52"/>
  </cols>
  <sheetData>
    <row r="1" customFormat="false" ht="30" hidden="false" customHeight="true" outlineLevel="0" collapsed="false">
      <c r="A1" s="1" t="s">
        <v>227</v>
      </c>
      <c r="B1" s="1"/>
      <c r="C1" s="1"/>
      <c r="D1" s="1"/>
      <c r="E1" s="1"/>
      <c r="F1" s="1"/>
      <c r="G1" s="1"/>
    </row>
    <row r="2" customFormat="false" ht="21.75" hidden="false" customHeight="true" outlineLevel="0" collapsed="false">
      <c r="A2" s="2" t="s">
        <v>189</v>
      </c>
      <c r="B2" s="2"/>
      <c r="C2" s="2"/>
      <c r="D2" s="2"/>
      <c r="E2" s="2"/>
      <c r="F2" s="2"/>
      <c r="G2" s="2"/>
    </row>
    <row r="4" customFormat="false" ht="18" hidden="false" customHeight="true" outlineLevel="0" collapsed="false">
      <c r="A4" s="4" t="s">
        <v>190</v>
      </c>
      <c r="B4" s="12"/>
      <c r="C4" s="12"/>
    </row>
    <row r="5" customFormat="false" ht="18" hidden="false" customHeight="true" outlineLevel="0" collapsed="false">
      <c r="A5" s="4" t="s">
        <v>191</v>
      </c>
      <c r="B5" s="12"/>
      <c r="C5" s="12"/>
    </row>
    <row r="6" customFormat="false" ht="18" hidden="false" customHeight="true" outlineLevel="0" collapsed="false">
      <c r="A6" s="4" t="s">
        <v>192</v>
      </c>
      <c r="B6" s="12"/>
      <c r="C6" s="12"/>
    </row>
    <row r="7" customFormat="false" ht="18" hidden="false" customHeight="true" outlineLevel="0" collapsed="false">
      <c r="A7" s="4" t="s">
        <v>45</v>
      </c>
      <c r="B7" s="12"/>
      <c r="C7" s="12"/>
    </row>
    <row r="8" customFormat="false" ht="18" hidden="false" customHeight="true" outlineLevel="0" collapsed="false">
      <c r="A8" s="4" t="s">
        <v>193</v>
      </c>
      <c r="B8" s="12"/>
      <c r="C8" s="12"/>
    </row>
    <row r="10" customFormat="false" ht="30" hidden="false" customHeight="true" outlineLevel="0" collapsed="false">
      <c r="A10" s="7" t="s">
        <v>137</v>
      </c>
      <c r="B10" s="7" t="s">
        <v>194</v>
      </c>
      <c r="C10" s="7" t="s">
        <v>195</v>
      </c>
      <c r="D10" s="7" t="s">
        <v>196</v>
      </c>
      <c r="E10" s="7" t="s">
        <v>197</v>
      </c>
      <c r="F10" s="7" t="s">
        <v>198</v>
      </c>
      <c r="G10" s="7" t="s">
        <v>199</v>
      </c>
    </row>
    <row r="11" customFormat="false" ht="33.75" hidden="false" customHeight="true" outlineLevel="0" collapsed="false">
      <c r="A11" s="13" t="s">
        <v>138</v>
      </c>
      <c r="B11" s="14" t="n">
        <v>0.2</v>
      </c>
      <c r="C11" s="15" t="s">
        <v>228</v>
      </c>
      <c r="D11" s="16"/>
      <c r="E11" s="17" t="str">
        <f aca="false">IF(D11="","",D11/4*B11)</f>
        <v/>
      </c>
      <c r="F11" s="20" t="s">
        <v>207</v>
      </c>
      <c r="G11" s="19"/>
    </row>
    <row r="12" customFormat="false" ht="33.75" hidden="false" customHeight="true" outlineLevel="0" collapsed="false">
      <c r="A12" s="13" t="s">
        <v>143</v>
      </c>
      <c r="B12" s="14" t="n">
        <v>0.15</v>
      </c>
      <c r="C12" s="15" t="s">
        <v>229</v>
      </c>
      <c r="D12" s="16"/>
      <c r="E12" s="17" t="str">
        <f aca="false">IF(D12="","",D12/4*B12)</f>
        <v/>
      </c>
      <c r="F12" s="18" t="s">
        <v>202</v>
      </c>
      <c r="G12" s="19"/>
    </row>
    <row r="13" customFormat="false" ht="33.75" hidden="false" customHeight="true" outlineLevel="0" collapsed="false">
      <c r="A13" s="13" t="s">
        <v>148</v>
      </c>
      <c r="B13" s="14" t="n">
        <v>0.15</v>
      </c>
      <c r="C13" s="15" t="s">
        <v>230</v>
      </c>
      <c r="D13" s="16"/>
      <c r="E13" s="17" t="str">
        <f aca="false">IF(D13="","",D13/4*B13)</f>
        <v/>
      </c>
      <c r="F13" s="20" t="s">
        <v>207</v>
      </c>
      <c r="G13" s="19"/>
    </row>
    <row r="14" customFormat="false" ht="33.75" hidden="false" customHeight="true" outlineLevel="0" collapsed="false">
      <c r="A14" s="13" t="s">
        <v>231</v>
      </c>
      <c r="B14" s="14" t="n">
        <v>0.08</v>
      </c>
      <c r="C14" s="15" t="s">
        <v>232</v>
      </c>
      <c r="D14" s="16"/>
      <c r="E14" s="17" t="str">
        <f aca="false">IF(D14="","",D14/4*B14)</f>
        <v/>
      </c>
      <c r="F14" s="18" t="s">
        <v>202</v>
      </c>
      <c r="G14" s="19"/>
    </row>
    <row r="15" customFormat="false" ht="33.75" hidden="false" customHeight="true" outlineLevel="0" collapsed="false">
      <c r="A15" s="13" t="s">
        <v>158</v>
      </c>
      <c r="B15" s="14" t="n">
        <v>0.13</v>
      </c>
      <c r="C15" s="15" t="s">
        <v>233</v>
      </c>
      <c r="D15" s="16"/>
      <c r="E15" s="17" t="str">
        <f aca="false">IF(D15="","",D15/4*B15)</f>
        <v/>
      </c>
      <c r="F15" s="18" t="s">
        <v>202</v>
      </c>
      <c r="G15" s="19"/>
    </row>
    <row r="16" customFormat="false" ht="33.75" hidden="false" customHeight="true" outlineLevel="0" collapsed="false">
      <c r="A16" s="13" t="s">
        <v>234</v>
      </c>
      <c r="B16" s="14" t="n">
        <v>0.06</v>
      </c>
      <c r="C16" s="15" t="s">
        <v>235</v>
      </c>
      <c r="D16" s="16"/>
      <c r="E16" s="17" t="str">
        <f aca="false">IF(D16="","",D16/4*B16)</f>
        <v/>
      </c>
      <c r="F16" s="18" t="s">
        <v>202</v>
      </c>
      <c r="G16" s="19"/>
    </row>
    <row r="17" customFormat="false" ht="33.75" hidden="false" customHeight="true" outlineLevel="0" collapsed="false">
      <c r="A17" s="13" t="s">
        <v>168</v>
      </c>
      <c r="B17" s="14" t="n">
        <v>0.1</v>
      </c>
      <c r="C17" s="15" t="s">
        <v>236</v>
      </c>
      <c r="D17" s="16"/>
      <c r="E17" s="17" t="str">
        <f aca="false">IF(D17="","",D17/4*B17)</f>
        <v/>
      </c>
      <c r="F17" s="20" t="s">
        <v>207</v>
      </c>
      <c r="G17" s="19"/>
    </row>
    <row r="18" customFormat="false" ht="33.75" hidden="false" customHeight="true" outlineLevel="0" collapsed="false">
      <c r="A18" s="13" t="s">
        <v>237</v>
      </c>
      <c r="B18" s="14" t="n">
        <v>0.06</v>
      </c>
      <c r="C18" s="15" t="s">
        <v>238</v>
      </c>
      <c r="D18" s="16"/>
      <c r="E18" s="17" t="str">
        <f aca="false">IF(D18="","",D18/4*B18)</f>
        <v/>
      </c>
      <c r="F18" s="18" t="s">
        <v>202</v>
      </c>
      <c r="G18" s="19"/>
    </row>
    <row r="19" customFormat="false" ht="33.75" hidden="false" customHeight="true" outlineLevel="0" collapsed="false">
      <c r="A19" s="13" t="s">
        <v>217</v>
      </c>
      <c r="B19" s="14" t="n">
        <v>0.04</v>
      </c>
      <c r="C19" s="15" t="s">
        <v>239</v>
      </c>
      <c r="D19" s="16"/>
      <c r="E19" s="17" t="str">
        <f aca="false">IF(D19="","",D19/4*B19)</f>
        <v/>
      </c>
      <c r="F19" s="18" t="s">
        <v>202</v>
      </c>
      <c r="G19" s="19"/>
    </row>
    <row r="20" customFormat="false" ht="33.75" hidden="false" customHeight="true" outlineLevel="0" collapsed="false">
      <c r="A20" s="13" t="s">
        <v>240</v>
      </c>
      <c r="B20" s="14" t="n">
        <v>0.03</v>
      </c>
      <c r="C20" s="15" t="s">
        <v>241</v>
      </c>
      <c r="D20" s="16"/>
      <c r="E20" s="17" t="str">
        <f aca="false">IF(D20="","",D20/4*B20)</f>
        <v/>
      </c>
      <c r="F20" s="18" t="s">
        <v>202</v>
      </c>
      <c r="G20" s="19"/>
    </row>
    <row r="21" customFormat="false" ht="24" hidden="false" customHeight="true" outlineLevel="0" collapsed="false">
      <c r="A21" s="21" t="s">
        <v>221</v>
      </c>
      <c r="B21" s="22" t="n">
        <f aca="false">SUM(B11:B20)</f>
        <v>1</v>
      </c>
      <c r="C21" s="23"/>
      <c r="D21" s="23"/>
      <c r="E21" s="24" t="n">
        <f aca="false">SUM(E11:E20)</f>
        <v>0</v>
      </c>
      <c r="F21" s="23"/>
      <c r="G21" s="23"/>
    </row>
    <row r="23" customFormat="false" ht="21.75" hidden="false" customHeight="true" outlineLevel="0" collapsed="false">
      <c r="A23" s="25" t="s">
        <v>222</v>
      </c>
      <c r="B23" s="26" t="n">
        <f aca="false">E21</f>
        <v>0</v>
      </c>
      <c r="C23" s="26"/>
      <c r="D23" s="26"/>
      <c r="E23" s="26"/>
    </row>
    <row r="24" customFormat="false" ht="21.75" hidden="false" customHeight="true" outlineLevel="0" collapsed="false">
      <c r="A24" s="25" t="s">
        <v>16</v>
      </c>
      <c r="B24" s="27" t="str">
        <f aca="false">IF(COUNT(D11:D20)&lt;10,"Not yet complete - rate all 10 competencies",IF(SUMPRODUCT((F11:F20="Yes")*(D11:D20=1))&gt;0,"FAILED - a must-pass competency scored 1","Passed"))</f>
        <v>Not yet complete - rate all 10 competencies</v>
      </c>
      <c r="C24" s="27"/>
      <c r="D24" s="27"/>
      <c r="E24" s="27"/>
    </row>
    <row r="25" customFormat="false" ht="21.75" hidden="false" customHeight="true" outlineLevel="0" collapsed="false">
      <c r="A25" s="25" t="s">
        <v>223</v>
      </c>
      <c r="B25" s="27" t="str">
        <f aca="false">IF(COUNT(D11:D20)&lt;10,"Complete all 10 ratings",IF(SUMPRODUCT((F11:F20="Yes")*(D11:D20=1))&gt;0,"NO HIRE - must-pass competency failed",IF(E21&gt;=0.9,"STRONG HIRE",IF(E21&gt;=0.75,"HIRE",IF(E21&gt;=0.6,"BORDERLINE - second opinion, or offer one level down","NO HIRE")))))</f>
        <v>Complete all 10 ratings</v>
      </c>
      <c r="C25" s="27"/>
      <c r="D25" s="27"/>
      <c r="E25" s="27"/>
    </row>
    <row r="27" customFormat="false" ht="19.5" hidden="false" customHeight="true" outlineLevel="0" collapsed="false">
      <c r="A27" s="3" t="s">
        <v>224</v>
      </c>
      <c r="B27" s="3"/>
      <c r="C27" s="3"/>
      <c r="D27" s="3"/>
      <c r="E27" s="3"/>
      <c r="F27" s="3"/>
      <c r="G27" s="3"/>
    </row>
    <row r="28" customFormat="false" ht="33.75" hidden="false" customHeight="true" outlineLevel="0" collapsed="false">
      <c r="A28" s="28" t="s">
        <v>242</v>
      </c>
      <c r="B28" s="28"/>
      <c r="C28" s="28"/>
      <c r="D28" s="28"/>
      <c r="E28" s="28"/>
      <c r="F28" s="28"/>
      <c r="G28" s="28"/>
    </row>
    <row r="30" customFormat="false" ht="15" hidden="false" customHeight="false" outlineLevel="0" collapsed="false">
      <c r="A30" s="29" t="s">
        <v>226</v>
      </c>
      <c r="B30" s="29"/>
      <c r="C30" s="29"/>
      <c r="D30" s="29"/>
      <c r="E30" s="29"/>
      <c r="F30" s="29"/>
      <c r="G30" s="29"/>
    </row>
    <row r="31" customFormat="false" ht="15" hidden="false" customHeight="false" outlineLevel="0" collapsed="false">
      <c r="A31" s="30"/>
      <c r="B31" s="30"/>
      <c r="C31" s="30"/>
      <c r="D31" s="30"/>
      <c r="E31" s="30"/>
      <c r="F31" s="30"/>
      <c r="G31" s="30"/>
    </row>
    <row r="32" customFormat="false" ht="15" hidden="false" customHeight="false" outlineLevel="0" collapsed="false">
      <c r="A32" s="30"/>
      <c r="B32" s="30"/>
      <c r="C32" s="30"/>
      <c r="D32" s="30"/>
      <c r="E32" s="30"/>
      <c r="F32" s="30"/>
      <c r="G32" s="30"/>
    </row>
    <row r="33" customFormat="false" ht="15" hidden="false" customHeight="false" outlineLevel="0" collapsed="false">
      <c r="A33" s="30"/>
      <c r="B33" s="30"/>
      <c r="C33" s="30"/>
      <c r="D33" s="30"/>
      <c r="E33" s="30"/>
      <c r="F33" s="30"/>
      <c r="G33" s="30"/>
    </row>
    <row r="34" customFormat="false" ht="15" hidden="false" customHeight="false" outlineLevel="0" collapsed="false">
      <c r="A34" s="30"/>
      <c r="B34" s="30"/>
      <c r="C34" s="30"/>
      <c r="D34" s="30"/>
      <c r="E34" s="30"/>
      <c r="F34" s="30"/>
      <c r="G34" s="30"/>
    </row>
    <row r="35" customFormat="false" ht="15" hidden="false" customHeight="false" outlineLevel="0" collapsed="false">
      <c r="A35" s="30"/>
      <c r="B35" s="30"/>
      <c r="C35" s="30"/>
      <c r="D35" s="30"/>
      <c r="E35" s="30"/>
      <c r="F35" s="30"/>
      <c r="G35" s="30"/>
    </row>
    <row r="36" customFormat="false" ht="15" hidden="false" customHeight="false" outlineLevel="0" collapsed="false">
      <c r="A36" s="30"/>
      <c r="B36" s="30"/>
      <c r="C36" s="30"/>
      <c r="D36" s="30"/>
      <c r="E36" s="30"/>
      <c r="F36" s="30"/>
      <c r="G36" s="30"/>
    </row>
  </sheetData>
  <mergeCells count="14">
    <mergeCell ref="A1:G1"/>
    <mergeCell ref="A2:G2"/>
    <mergeCell ref="B4:C4"/>
    <mergeCell ref="B5:C5"/>
    <mergeCell ref="B6:C6"/>
    <mergeCell ref="B7:C7"/>
    <mergeCell ref="B8:C8"/>
    <mergeCell ref="B23:E23"/>
    <mergeCell ref="B24:E24"/>
    <mergeCell ref="B25:E25"/>
    <mergeCell ref="A27:G27"/>
    <mergeCell ref="A28:G28"/>
    <mergeCell ref="A30:G30"/>
    <mergeCell ref="A31:G36"/>
  </mergeCells>
  <dataValidations count="1">
    <dataValidation allowBlank="true" error="Enter a whole number from 1 to 4." errorStyle="stop" errorTitle="Rating must be 1-4" operator="between" showDropDown="false" showErrorMessage="true" showInputMessage="false" sqref="D11:D20" type="whole">
      <formula1>1</formula1>
      <formula2>4</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0" topLeftCell="A11"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34"/>
    <col collapsed="false" customWidth="true" hidden="false" outlineLevel="0" max="2" min="2" style="0" width="9"/>
    <col collapsed="false" customWidth="true" hidden="false" outlineLevel="0" max="3" min="3" style="0" width="52"/>
    <col collapsed="false" customWidth="true" hidden="false" outlineLevel="0" max="5" min="4" style="0" width="11"/>
    <col collapsed="false" customWidth="true" hidden="false" outlineLevel="0" max="6" min="6" style="0" width="12"/>
    <col collapsed="false" customWidth="true" hidden="false" outlineLevel="0" max="7" min="7" style="0" width="52"/>
  </cols>
  <sheetData>
    <row r="1" customFormat="false" ht="30" hidden="false" customHeight="true" outlineLevel="0" collapsed="false">
      <c r="A1" s="1" t="s">
        <v>243</v>
      </c>
      <c r="B1" s="1"/>
      <c r="C1" s="1"/>
      <c r="D1" s="1"/>
      <c r="E1" s="1"/>
      <c r="F1" s="1"/>
      <c r="G1" s="1"/>
    </row>
    <row r="2" customFormat="false" ht="21.75" hidden="false" customHeight="true" outlineLevel="0" collapsed="false">
      <c r="A2" s="2" t="s">
        <v>189</v>
      </c>
      <c r="B2" s="2"/>
      <c r="C2" s="2"/>
      <c r="D2" s="2"/>
      <c r="E2" s="2"/>
      <c r="F2" s="2"/>
      <c r="G2" s="2"/>
    </row>
    <row r="4" customFormat="false" ht="18" hidden="false" customHeight="true" outlineLevel="0" collapsed="false">
      <c r="A4" s="4" t="s">
        <v>190</v>
      </c>
      <c r="B4" s="12"/>
      <c r="C4" s="12"/>
    </row>
    <row r="5" customFormat="false" ht="18" hidden="false" customHeight="true" outlineLevel="0" collapsed="false">
      <c r="A5" s="4" t="s">
        <v>191</v>
      </c>
      <c r="B5" s="12"/>
      <c r="C5" s="12"/>
    </row>
    <row r="6" customFormat="false" ht="18" hidden="false" customHeight="true" outlineLevel="0" collapsed="false">
      <c r="A6" s="4" t="s">
        <v>192</v>
      </c>
      <c r="B6" s="12"/>
      <c r="C6" s="12"/>
    </row>
    <row r="7" customFormat="false" ht="18" hidden="false" customHeight="true" outlineLevel="0" collapsed="false">
      <c r="A7" s="4" t="s">
        <v>45</v>
      </c>
      <c r="B7" s="12"/>
      <c r="C7" s="12"/>
    </row>
    <row r="8" customFormat="false" ht="18" hidden="false" customHeight="true" outlineLevel="0" collapsed="false">
      <c r="A8" s="4" t="s">
        <v>193</v>
      </c>
      <c r="B8" s="12"/>
      <c r="C8" s="12"/>
    </row>
    <row r="10" customFormat="false" ht="30" hidden="false" customHeight="true" outlineLevel="0" collapsed="false">
      <c r="A10" s="7" t="s">
        <v>137</v>
      </c>
      <c r="B10" s="7" t="s">
        <v>194</v>
      </c>
      <c r="C10" s="7" t="s">
        <v>195</v>
      </c>
      <c r="D10" s="7" t="s">
        <v>196</v>
      </c>
      <c r="E10" s="7" t="s">
        <v>197</v>
      </c>
      <c r="F10" s="7" t="s">
        <v>198</v>
      </c>
      <c r="G10" s="7" t="s">
        <v>199</v>
      </c>
    </row>
    <row r="11" customFormat="false" ht="33.75" hidden="false" customHeight="true" outlineLevel="0" collapsed="false">
      <c r="A11" s="13" t="s">
        <v>244</v>
      </c>
      <c r="B11" s="14" t="n">
        <v>0.15</v>
      </c>
      <c r="C11" s="15" t="s">
        <v>245</v>
      </c>
      <c r="D11" s="16"/>
      <c r="E11" s="17" t="str">
        <f aca="false">IF(D11="","",D11/4*B11)</f>
        <v/>
      </c>
      <c r="F11" s="18" t="s">
        <v>202</v>
      </c>
      <c r="G11" s="19"/>
    </row>
    <row r="12" customFormat="false" ht="33.75" hidden="false" customHeight="true" outlineLevel="0" collapsed="false">
      <c r="A12" s="13" t="s">
        <v>246</v>
      </c>
      <c r="B12" s="14" t="n">
        <v>0.12</v>
      </c>
      <c r="C12" s="15" t="s">
        <v>247</v>
      </c>
      <c r="D12" s="16"/>
      <c r="E12" s="17" t="str">
        <f aca="false">IF(D12="","",D12/4*B12)</f>
        <v/>
      </c>
      <c r="F12" s="18" t="s">
        <v>202</v>
      </c>
      <c r="G12" s="19"/>
    </row>
    <row r="13" customFormat="false" ht="33.75" hidden="false" customHeight="true" outlineLevel="0" collapsed="false">
      <c r="A13" s="13" t="s">
        <v>148</v>
      </c>
      <c r="B13" s="14" t="n">
        <v>0.13</v>
      </c>
      <c r="C13" s="15" t="s">
        <v>248</v>
      </c>
      <c r="D13" s="16"/>
      <c r="E13" s="17" t="str">
        <f aca="false">IF(D13="","",D13/4*B13)</f>
        <v/>
      </c>
      <c r="F13" s="20" t="s">
        <v>207</v>
      </c>
      <c r="G13" s="19"/>
    </row>
    <row r="14" customFormat="false" ht="33.75" hidden="false" customHeight="true" outlineLevel="0" collapsed="false">
      <c r="A14" s="13" t="s">
        <v>249</v>
      </c>
      <c r="B14" s="14" t="n">
        <v>0.14</v>
      </c>
      <c r="C14" s="15" t="s">
        <v>250</v>
      </c>
      <c r="D14" s="16"/>
      <c r="E14" s="17" t="str">
        <f aca="false">IF(D14="","",D14/4*B14)</f>
        <v/>
      </c>
      <c r="F14" s="20" t="s">
        <v>207</v>
      </c>
      <c r="G14" s="19"/>
    </row>
    <row r="15" customFormat="false" ht="33.75" hidden="false" customHeight="true" outlineLevel="0" collapsed="false">
      <c r="A15" s="13" t="s">
        <v>158</v>
      </c>
      <c r="B15" s="14" t="n">
        <v>0.13</v>
      </c>
      <c r="C15" s="15" t="s">
        <v>251</v>
      </c>
      <c r="D15" s="16"/>
      <c r="E15" s="17" t="str">
        <f aca="false">IF(D15="","",D15/4*B15)</f>
        <v/>
      </c>
      <c r="F15" s="18" t="s">
        <v>202</v>
      </c>
      <c r="G15" s="19"/>
    </row>
    <row r="16" customFormat="false" ht="33.75" hidden="false" customHeight="true" outlineLevel="0" collapsed="false">
      <c r="A16" s="13" t="s">
        <v>252</v>
      </c>
      <c r="B16" s="14" t="n">
        <v>0.12</v>
      </c>
      <c r="C16" s="15" t="s">
        <v>253</v>
      </c>
      <c r="D16" s="16"/>
      <c r="E16" s="17" t="str">
        <f aca="false">IF(D16="","",D16/4*B16)</f>
        <v/>
      </c>
      <c r="F16" s="20" t="s">
        <v>207</v>
      </c>
      <c r="G16" s="19"/>
    </row>
    <row r="17" customFormat="false" ht="33.75" hidden="false" customHeight="true" outlineLevel="0" collapsed="false">
      <c r="A17" s="13" t="s">
        <v>168</v>
      </c>
      <c r="B17" s="14" t="n">
        <v>0.1</v>
      </c>
      <c r="C17" s="15" t="s">
        <v>254</v>
      </c>
      <c r="D17" s="16"/>
      <c r="E17" s="17" t="str">
        <f aca="false">IF(D17="","",D17/4*B17)</f>
        <v/>
      </c>
      <c r="F17" s="20" t="s">
        <v>207</v>
      </c>
      <c r="G17" s="19"/>
    </row>
    <row r="18" customFormat="false" ht="33.75" hidden="false" customHeight="true" outlineLevel="0" collapsed="false">
      <c r="A18" s="13" t="s">
        <v>255</v>
      </c>
      <c r="B18" s="14" t="n">
        <v>0.05</v>
      </c>
      <c r="C18" s="15" t="s">
        <v>256</v>
      </c>
      <c r="D18" s="16"/>
      <c r="E18" s="17" t="str">
        <f aca="false">IF(D18="","",D18/4*B18)</f>
        <v/>
      </c>
      <c r="F18" s="18" t="s">
        <v>202</v>
      </c>
      <c r="G18" s="19"/>
    </row>
    <row r="19" customFormat="false" ht="33.75" hidden="false" customHeight="true" outlineLevel="0" collapsed="false">
      <c r="A19" s="13" t="s">
        <v>257</v>
      </c>
      <c r="B19" s="14" t="n">
        <v>0.03</v>
      </c>
      <c r="C19" s="15" t="s">
        <v>258</v>
      </c>
      <c r="D19" s="16"/>
      <c r="E19" s="17" t="str">
        <f aca="false">IF(D19="","",D19/4*B19)</f>
        <v/>
      </c>
      <c r="F19" s="18" t="s">
        <v>202</v>
      </c>
      <c r="G19" s="19"/>
    </row>
    <row r="20" customFormat="false" ht="33.75" hidden="false" customHeight="true" outlineLevel="0" collapsed="false">
      <c r="A20" s="13" t="s">
        <v>259</v>
      </c>
      <c r="B20" s="14" t="n">
        <v>0.03</v>
      </c>
      <c r="C20" s="15" t="s">
        <v>260</v>
      </c>
      <c r="D20" s="16"/>
      <c r="E20" s="17" t="str">
        <f aca="false">IF(D20="","",D20/4*B20)</f>
        <v/>
      </c>
      <c r="F20" s="18" t="s">
        <v>202</v>
      </c>
      <c r="G20" s="19"/>
    </row>
    <row r="21" customFormat="false" ht="24" hidden="false" customHeight="true" outlineLevel="0" collapsed="false">
      <c r="A21" s="21" t="s">
        <v>221</v>
      </c>
      <c r="B21" s="22" t="n">
        <f aca="false">SUM(B11:B20)</f>
        <v>1</v>
      </c>
      <c r="C21" s="23"/>
      <c r="D21" s="23"/>
      <c r="E21" s="24" t="n">
        <f aca="false">SUM(E11:E20)</f>
        <v>0</v>
      </c>
      <c r="F21" s="23"/>
      <c r="G21" s="23"/>
    </row>
    <row r="23" customFormat="false" ht="21.75" hidden="false" customHeight="true" outlineLevel="0" collapsed="false">
      <c r="A23" s="25" t="s">
        <v>222</v>
      </c>
      <c r="B23" s="26" t="n">
        <f aca="false">E21</f>
        <v>0</v>
      </c>
      <c r="C23" s="26"/>
      <c r="D23" s="26"/>
      <c r="E23" s="26"/>
    </row>
    <row r="24" customFormat="false" ht="21.75" hidden="false" customHeight="true" outlineLevel="0" collapsed="false">
      <c r="A24" s="25" t="s">
        <v>16</v>
      </c>
      <c r="B24" s="27" t="str">
        <f aca="false">IF(COUNT(D11:D20)&lt;10,"Not yet complete - rate all 10 competencies",IF(SUMPRODUCT((F11:F20="Yes")*(D11:D20=1))&gt;0,"FAILED - a must-pass competency scored 1","Passed"))</f>
        <v>Not yet complete - rate all 10 competencies</v>
      </c>
      <c r="C24" s="27"/>
      <c r="D24" s="27"/>
      <c r="E24" s="27"/>
    </row>
    <row r="25" customFormat="false" ht="21.75" hidden="false" customHeight="true" outlineLevel="0" collapsed="false">
      <c r="A25" s="25" t="s">
        <v>223</v>
      </c>
      <c r="B25" s="27" t="str">
        <f aca="false">IF(COUNT(D11:D20)&lt;10,"Complete all 10 ratings",IF(SUMPRODUCT((F11:F20="Yes")*(D11:D20=1))&gt;0,"NO HIRE - must-pass competency failed",IF(E21&gt;=0.9,"STRONG HIRE",IF(E21&gt;=0.75,"HIRE",IF(E21&gt;=0.6,"BORDERLINE - second opinion, or offer one level down","NO HIRE")))))</f>
        <v>Complete all 10 ratings</v>
      </c>
      <c r="C25" s="27"/>
      <c r="D25" s="27"/>
      <c r="E25" s="27"/>
    </row>
    <row r="27" customFormat="false" ht="19.5" hidden="false" customHeight="true" outlineLevel="0" collapsed="false">
      <c r="A27" s="3" t="s">
        <v>224</v>
      </c>
      <c r="B27" s="3"/>
      <c r="C27" s="3"/>
      <c r="D27" s="3"/>
      <c r="E27" s="3"/>
      <c r="F27" s="3"/>
      <c r="G27" s="3"/>
    </row>
    <row r="28" customFormat="false" ht="33.75" hidden="false" customHeight="true" outlineLevel="0" collapsed="false">
      <c r="A28" s="28" t="s">
        <v>261</v>
      </c>
      <c r="B28" s="28"/>
      <c r="C28" s="28"/>
      <c r="D28" s="28"/>
      <c r="E28" s="28"/>
      <c r="F28" s="28"/>
      <c r="G28" s="28"/>
    </row>
    <row r="30" customFormat="false" ht="15" hidden="false" customHeight="false" outlineLevel="0" collapsed="false">
      <c r="A30" s="29" t="s">
        <v>226</v>
      </c>
      <c r="B30" s="29"/>
      <c r="C30" s="29"/>
      <c r="D30" s="29"/>
      <c r="E30" s="29"/>
      <c r="F30" s="29"/>
      <c r="G30" s="29"/>
    </row>
    <row r="31" customFormat="false" ht="15" hidden="false" customHeight="false" outlineLevel="0" collapsed="false">
      <c r="A31" s="30"/>
      <c r="B31" s="30"/>
      <c r="C31" s="30"/>
      <c r="D31" s="30"/>
      <c r="E31" s="30"/>
      <c r="F31" s="30"/>
      <c r="G31" s="30"/>
    </row>
    <row r="32" customFormat="false" ht="15" hidden="false" customHeight="false" outlineLevel="0" collapsed="false">
      <c r="A32" s="30"/>
      <c r="B32" s="30"/>
      <c r="C32" s="30"/>
      <c r="D32" s="30"/>
      <c r="E32" s="30"/>
      <c r="F32" s="30"/>
      <c r="G32" s="30"/>
    </row>
    <row r="33" customFormat="false" ht="15" hidden="false" customHeight="false" outlineLevel="0" collapsed="false">
      <c r="A33" s="30"/>
      <c r="B33" s="30"/>
      <c r="C33" s="30"/>
      <c r="D33" s="30"/>
      <c r="E33" s="30"/>
      <c r="F33" s="30"/>
      <c r="G33" s="30"/>
    </row>
    <row r="34" customFormat="false" ht="15" hidden="false" customHeight="false" outlineLevel="0" collapsed="false">
      <c r="A34" s="30"/>
      <c r="B34" s="30"/>
      <c r="C34" s="30"/>
      <c r="D34" s="30"/>
      <c r="E34" s="30"/>
      <c r="F34" s="30"/>
      <c r="G34" s="30"/>
    </row>
    <row r="35" customFormat="false" ht="15" hidden="false" customHeight="false" outlineLevel="0" collapsed="false">
      <c r="A35" s="30"/>
      <c r="B35" s="30"/>
      <c r="C35" s="30"/>
      <c r="D35" s="30"/>
      <c r="E35" s="30"/>
      <c r="F35" s="30"/>
      <c r="G35" s="30"/>
    </row>
    <row r="36" customFormat="false" ht="15" hidden="false" customHeight="false" outlineLevel="0" collapsed="false">
      <c r="A36" s="30"/>
      <c r="B36" s="30"/>
      <c r="C36" s="30"/>
      <c r="D36" s="30"/>
      <c r="E36" s="30"/>
      <c r="F36" s="30"/>
      <c r="G36" s="30"/>
    </row>
  </sheetData>
  <mergeCells count="14">
    <mergeCell ref="A1:G1"/>
    <mergeCell ref="A2:G2"/>
    <mergeCell ref="B4:C4"/>
    <mergeCell ref="B5:C5"/>
    <mergeCell ref="B6:C6"/>
    <mergeCell ref="B7:C7"/>
    <mergeCell ref="B8:C8"/>
    <mergeCell ref="B23:E23"/>
    <mergeCell ref="B24:E24"/>
    <mergeCell ref="B25:E25"/>
    <mergeCell ref="A27:G27"/>
    <mergeCell ref="A28:G28"/>
    <mergeCell ref="A30:G30"/>
    <mergeCell ref="A31:G36"/>
  </mergeCells>
  <dataValidations count="1">
    <dataValidation allowBlank="true" error="Enter a whole number from 1 to 4." errorStyle="stop" errorTitle="Rating must be 1-4" operator="between" showDropDown="false" showErrorMessage="true" showInputMessage="false" sqref="D11:D20" type="whole">
      <formula1>1</formula1>
      <formula2>4</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0" topLeftCell="A11"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34"/>
    <col collapsed="false" customWidth="true" hidden="false" outlineLevel="0" max="2" min="2" style="0" width="9"/>
    <col collapsed="false" customWidth="true" hidden="false" outlineLevel="0" max="3" min="3" style="0" width="52"/>
    <col collapsed="false" customWidth="true" hidden="false" outlineLevel="0" max="5" min="4" style="0" width="11"/>
    <col collapsed="false" customWidth="true" hidden="false" outlineLevel="0" max="6" min="6" style="0" width="12"/>
    <col collapsed="false" customWidth="true" hidden="false" outlineLevel="0" max="7" min="7" style="0" width="52"/>
  </cols>
  <sheetData>
    <row r="1" customFormat="false" ht="30" hidden="false" customHeight="true" outlineLevel="0" collapsed="false">
      <c r="A1" s="1" t="s">
        <v>262</v>
      </c>
      <c r="B1" s="1"/>
      <c r="C1" s="1"/>
      <c r="D1" s="1"/>
      <c r="E1" s="1"/>
      <c r="F1" s="1"/>
      <c r="G1" s="1"/>
    </row>
    <row r="2" customFormat="false" ht="21.75" hidden="false" customHeight="true" outlineLevel="0" collapsed="false">
      <c r="A2" s="2" t="s">
        <v>189</v>
      </c>
      <c r="B2" s="2"/>
      <c r="C2" s="2"/>
      <c r="D2" s="2"/>
      <c r="E2" s="2"/>
      <c r="F2" s="2"/>
      <c r="G2" s="2"/>
    </row>
    <row r="4" customFormat="false" ht="18" hidden="false" customHeight="true" outlineLevel="0" collapsed="false">
      <c r="A4" s="4" t="s">
        <v>190</v>
      </c>
      <c r="B4" s="12"/>
      <c r="C4" s="12"/>
    </row>
    <row r="5" customFormat="false" ht="18" hidden="false" customHeight="true" outlineLevel="0" collapsed="false">
      <c r="A5" s="4" t="s">
        <v>191</v>
      </c>
      <c r="B5" s="12"/>
      <c r="C5" s="12"/>
    </row>
    <row r="6" customFormat="false" ht="18" hidden="false" customHeight="true" outlineLevel="0" collapsed="false">
      <c r="A6" s="4" t="s">
        <v>192</v>
      </c>
      <c r="B6" s="12"/>
      <c r="C6" s="12"/>
    </row>
    <row r="7" customFormat="false" ht="18" hidden="false" customHeight="true" outlineLevel="0" collapsed="false">
      <c r="A7" s="4" t="s">
        <v>45</v>
      </c>
      <c r="B7" s="12"/>
      <c r="C7" s="12"/>
    </row>
    <row r="8" customFormat="false" ht="18" hidden="false" customHeight="true" outlineLevel="0" collapsed="false">
      <c r="A8" s="4" t="s">
        <v>193</v>
      </c>
      <c r="B8" s="12"/>
      <c r="C8" s="12"/>
    </row>
    <row r="10" customFormat="false" ht="30" hidden="false" customHeight="true" outlineLevel="0" collapsed="false">
      <c r="A10" s="7" t="s">
        <v>137</v>
      </c>
      <c r="B10" s="7" t="s">
        <v>194</v>
      </c>
      <c r="C10" s="7" t="s">
        <v>195</v>
      </c>
      <c r="D10" s="7" t="s">
        <v>196</v>
      </c>
      <c r="E10" s="7" t="s">
        <v>197</v>
      </c>
      <c r="F10" s="7" t="s">
        <v>198</v>
      </c>
      <c r="G10" s="7" t="s">
        <v>199</v>
      </c>
    </row>
    <row r="11" customFormat="false" ht="33.75" hidden="false" customHeight="true" outlineLevel="0" collapsed="false">
      <c r="A11" s="13" t="s">
        <v>244</v>
      </c>
      <c r="B11" s="14" t="n">
        <v>0.09</v>
      </c>
      <c r="C11" s="15" t="s">
        <v>263</v>
      </c>
      <c r="D11" s="16"/>
      <c r="E11" s="17" t="str">
        <f aca="false">IF(D11="","",D11/4*B11)</f>
        <v/>
      </c>
      <c r="F11" s="18" t="s">
        <v>202</v>
      </c>
      <c r="G11" s="19"/>
    </row>
    <row r="12" customFormat="false" ht="33.75" hidden="false" customHeight="true" outlineLevel="0" collapsed="false">
      <c r="A12" s="13" t="s">
        <v>246</v>
      </c>
      <c r="B12" s="14" t="n">
        <v>0.08</v>
      </c>
      <c r="C12" s="15" t="s">
        <v>264</v>
      </c>
      <c r="D12" s="16"/>
      <c r="E12" s="17" t="str">
        <f aca="false">IF(D12="","",D12/4*B12)</f>
        <v/>
      </c>
      <c r="F12" s="18" t="s">
        <v>202</v>
      </c>
      <c r="G12" s="19"/>
    </row>
    <row r="13" customFormat="false" ht="33.75" hidden="false" customHeight="true" outlineLevel="0" collapsed="false">
      <c r="A13" s="13" t="s">
        <v>265</v>
      </c>
      <c r="B13" s="14" t="n">
        <v>0.12</v>
      </c>
      <c r="C13" s="15" t="s">
        <v>266</v>
      </c>
      <c r="D13" s="16"/>
      <c r="E13" s="17" t="str">
        <f aca="false">IF(D13="","",D13/4*B13)</f>
        <v/>
      </c>
      <c r="F13" s="18" t="s">
        <v>202</v>
      </c>
      <c r="G13" s="19"/>
    </row>
    <row r="14" customFormat="false" ht="33.75" hidden="false" customHeight="true" outlineLevel="0" collapsed="false">
      <c r="A14" s="13" t="s">
        <v>267</v>
      </c>
      <c r="B14" s="14" t="n">
        <v>0.18</v>
      </c>
      <c r="C14" s="15" t="s">
        <v>268</v>
      </c>
      <c r="D14" s="16"/>
      <c r="E14" s="17" t="str">
        <f aca="false">IF(D14="","",D14/4*B14)</f>
        <v/>
      </c>
      <c r="F14" s="20" t="s">
        <v>207</v>
      </c>
      <c r="G14" s="19"/>
    </row>
    <row r="15" customFormat="false" ht="33.75" hidden="false" customHeight="true" outlineLevel="0" collapsed="false">
      <c r="A15" s="13" t="s">
        <v>269</v>
      </c>
      <c r="B15" s="14" t="n">
        <v>0.12</v>
      </c>
      <c r="C15" s="15" t="s">
        <v>270</v>
      </c>
      <c r="D15" s="16"/>
      <c r="E15" s="17" t="str">
        <f aca="false">IF(D15="","",D15/4*B15)</f>
        <v/>
      </c>
      <c r="F15" s="18" t="s">
        <v>202</v>
      </c>
      <c r="G15" s="19"/>
    </row>
    <row r="16" customFormat="false" ht="33.75" hidden="false" customHeight="true" outlineLevel="0" collapsed="false">
      <c r="A16" s="13" t="s">
        <v>271</v>
      </c>
      <c r="B16" s="14" t="n">
        <v>0.14</v>
      </c>
      <c r="C16" s="15" t="s">
        <v>272</v>
      </c>
      <c r="D16" s="16"/>
      <c r="E16" s="17" t="str">
        <f aca="false">IF(D16="","",D16/4*B16)</f>
        <v/>
      </c>
      <c r="F16" s="20" t="s">
        <v>207</v>
      </c>
      <c r="G16" s="19"/>
    </row>
    <row r="17" customFormat="false" ht="33.75" hidden="false" customHeight="true" outlineLevel="0" collapsed="false">
      <c r="A17" s="13" t="s">
        <v>168</v>
      </c>
      <c r="B17" s="14" t="n">
        <v>0.09</v>
      </c>
      <c r="C17" s="15" t="s">
        <v>273</v>
      </c>
      <c r="D17" s="16"/>
      <c r="E17" s="17" t="str">
        <f aca="false">IF(D17="","",D17/4*B17)</f>
        <v/>
      </c>
      <c r="F17" s="20" t="s">
        <v>207</v>
      </c>
      <c r="G17" s="19"/>
    </row>
    <row r="18" customFormat="false" ht="33.75" hidden="false" customHeight="true" outlineLevel="0" collapsed="false">
      <c r="A18" s="13" t="s">
        <v>274</v>
      </c>
      <c r="B18" s="14" t="n">
        <v>0.04</v>
      </c>
      <c r="C18" s="15" t="s">
        <v>275</v>
      </c>
      <c r="D18" s="16"/>
      <c r="E18" s="17" t="str">
        <f aca="false">IF(D18="","",D18/4*B18)</f>
        <v/>
      </c>
      <c r="F18" s="18" t="s">
        <v>202</v>
      </c>
      <c r="G18" s="19"/>
    </row>
    <row r="19" customFormat="false" ht="33.75" hidden="false" customHeight="true" outlineLevel="0" collapsed="false">
      <c r="A19" s="13" t="s">
        <v>257</v>
      </c>
      <c r="B19" s="14" t="n">
        <v>0.03</v>
      </c>
      <c r="C19" s="15" t="s">
        <v>276</v>
      </c>
      <c r="D19" s="16"/>
      <c r="E19" s="17" t="str">
        <f aca="false">IF(D19="","",D19/4*B19)</f>
        <v/>
      </c>
      <c r="F19" s="18" t="s">
        <v>202</v>
      </c>
      <c r="G19" s="19"/>
    </row>
    <row r="20" customFormat="false" ht="33.75" hidden="false" customHeight="true" outlineLevel="0" collapsed="false">
      <c r="A20" s="13" t="s">
        <v>277</v>
      </c>
      <c r="B20" s="14" t="n">
        <v>0.11</v>
      </c>
      <c r="C20" s="15" t="s">
        <v>278</v>
      </c>
      <c r="D20" s="16"/>
      <c r="E20" s="17" t="str">
        <f aca="false">IF(D20="","",D20/4*B20)</f>
        <v/>
      </c>
      <c r="F20" s="20" t="s">
        <v>207</v>
      </c>
      <c r="G20" s="19"/>
    </row>
    <row r="21" customFormat="false" ht="24" hidden="false" customHeight="true" outlineLevel="0" collapsed="false">
      <c r="A21" s="21" t="s">
        <v>221</v>
      </c>
      <c r="B21" s="22" t="n">
        <f aca="false">SUM(B11:B20)</f>
        <v>1</v>
      </c>
      <c r="C21" s="23"/>
      <c r="D21" s="23"/>
      <c r="E21" s="24" t="n">
        <f aca="false">SUM(E11:E20)</f>
        <v>0</v>
      </c>
      <c r="F21" s="23"/>
      <c r="G21" s="23"/>
    </row>
    <row r="23" customFormat="false" ht="21.75" hidden="false" customHeight="true" outlineLevel="0" collapsed="false">
      <c r="A23" s="25" t="s">
        <v>222</v>
      </c>
      <c r="B23" s="26" t="n">
        <f aca="false">E21</f>
        <v>0</v>
      </c>
      <c r="C23" s="26"/>
      <c r="D23" s="26"/>
      <c r="E23" s="26"/>
    </row>
    <row r="24" customFormat="false" ht="21.75" hidden="false" customHeight="true" outlineLevel="0" collapsed="false">
      <c r="A24" s="25" t="s">
        <v>16</v>
      </c>
      <c r="B24" s="27" t="str">
        <f aca="false">IF(COUNT(D11:D20)&lt;10,"Not yet complete - rate all 10 competencies",IF(SUMPRODUCT((F11:F20="Yes")*(D11:D20=1))&gt;0,"FAILED - a must-pass competency scored 1","Passed"))</f>
        <v>Not yet complete - rate all 10 competencies</v>
      </c>
      <c r="C24" s="27"/>
      <c r="D24" s="27"/>
      <c r="E24" s="27"/>
    </row>
    <row r="25" customFormat="false" ht="21.75" hidden="false" customHeight="true" outlineLevel="0" collapsed="false">
      <c r="A25" s="25" t="s">
        <v>223</v>
      </c>
      <c r="B25" s="27" t="str">
        <f aca="false">IF(COUNT(D11:D20)&lt;10,"Complete all 10 ratings",IF(SUMPRODUCT((F11:F20="Yes")*(D11:D20=1))&gt;0,"NO HIRE - must-pass competency failed",IF(E21&gt;=0.9,"STRONG HIRE",IF(E21&gt;=0.75,"HIRE",IF(E21&gt;=0.6,"BORDERLINE - second opinion, or offer one level down","NO HIRE")))))</f>
        <v>Complete all 10 ratings</v>
      </c>
      <c r="C25" s="27"/>
      <c r="D25" s="27"/>
      <c r="E25" s="27"/>
    </row>
    <row r="27" customFormat="false" ht="19.5" hidden="false" customHeight="true" outlineLevel="0" collapsed="false">
      <c r="A27" s="3" t="s">
        <v>224</v>
      </c>
      <c r="B27" s="3"/>
      <c r="C27" s="3"/>
      <c r="D27" s="3"/>
      <c r="E27" s="3"/>
      <c r="F27" s="3"/>
      <c r="G27" s="3"/>
    </row>
    <row r="28" customFormat="false" ht="33.75" hidden="false" customHeight="true" outlineLevel="0" collapsed="false">
      <c r="A28" s="28" t="s">
        <v>279</v>
      </c>
      <c r="B28" s="28"/>
      <c r="C28" s="28"/>
      <c r="D28" s="28"/>
      <c r="E28" s="28"/>
      <c r="F28" s="28"/>
      <c r="G28" s="28"/>
    </row>
    <row r="30" customFormat="false" ht="15" hidden="false" customHeight="false" outlineLevel="0" collapsed="false">
      <c r="A30" s="29" t="s">
        <v>226</v>
      </c>
      <c r="B30" s="29"/>
      <c r="C30" s="29"/>
      <c r="D30" s="29"/>
      <c r="E30" s="29"/>
      <c r="F30" s="29"/>
      <c r="G30" s="29"/>
    </row>
    <row r="31" customFormat="false" ht="15" hidden="false" customHeight="false" outlineLevel="0" collapsed="false">
      <c r="A31" s="30"/>
      <c r="B31" s="30"/>
      <c r="C31" s="30"/>
      <c r="D31" s="30"/>
      <c r="E31" s="30"/>
      <c r="F31" s="30"/>
      <c r="G31" s="30"/>
    </row>
    <row r="32" customFormat="false" ht="15" hidden="false" customHeight="false" outlineLevel="0" collapsed="false">
      <c r="A32" s="30"/>
      <c r="B32" s="30"/>
      <c r="C32" s="30"/>
      <c r="D32" s="30"/>
      <c r="E32" s="30"/>
      <c r="F32" s="30"/>
      <c r="G32" s="30"/>
    </row>
    <row r="33" customFormat="false" ht="15" hidden="false" customHeight="false" outlineLevel="0" collapsed="false">
      <c r="A33" s="30"/>
      <c r="B33" s="30"/>
      <c r="C33" s="30"/>
      <c r="D33" s="30"/>
      <c r="E33" s="30"/>
      <c r="F33" s="30"/>
      <c r="G33" s="30"/>
    </row>
    <row r="34" customFormat="false" ht="15" hidden="false" customHeight="false" outlineLevel="0" collapsed="false">
      <c r="A34" s="30"/>
      <c r="B34" s="30"/>
      <c r="C34" s="30"/>
      <c r="D34" s="30"/>
      <c r="E34" s="30"/>
      <c r="F34" s="30"/>
      <c r="G34" s="30"/>
    </row>
    <row r="35" customFormat="false" ht="15" hidden="false" customHeight="false" outlineLevel="0" collapsed="false">
      <c r="A35" s="30"/>
      <c r="B35" s="30"/>
      <c r="C35" s="30"/>
      <c r="D35" s="30"/>
      <c r="E35" s="30"/>
      <c r="F35" s="30"/>
      <c r="G35" s="30"/>
    </row>
    <row r="36" customFormat="false" ht="15" hidden="false" customHeight="false" outlineLevel="0" collapsed="false">
      <c r="A36" s="30"/>
      <c r="B36" s="30"/>
      <c r="C36" s="30"/>
      <c r="D36" s="30"/>
      <c r="E36" s="30"/>
      <c r="F36" s="30"/>
      <c r="G36" s="30"/>
    </row>
  </sheetData>
  <mergeCells count="14">
    <mergeCell ref="A1:G1"/>
    <mergeCell ref="A2:G2"/>
    <mergeCell ref="B4:C4"/>
    <mergeCell ref="B5:C5"/>
    <mergeCell ref="B6:C6"/>
    <mergeCell ref="B7:C7"/>
    <mergeCell ref="B8:C8"/>
    <mergeCell ref="B23:E23"/>
    <mergeCell ref="B24:E24"/>
    <mergeCell ref="B25:E25"/>
    <mergeCell ref="A27:G27"/>
    <mergeCell ref="A28:G28"/>
    <mergeCell ref="A30:G30"/>
    <mergeCell ref="A31:G36"/>
  </mergeCells>
  <dataValidations count="1">
    <dataValidation allowBlank="true" error="Enter a whole number from 1 to 4." errorStyle="stop" errorTitle="Rating must be 1-4" operator="between" showDropDown="false" showErrorMessage="true" showInputMessage="false" sqref="D11:D20" type="whole">
      <formula1>1</formula1>
      <formula2>4</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3" topLeftCell="E4" activePane="bottomRight" state="frozen"/>
      <selection pane="topLeft" activeCell="A1" activeCellId="0" sqref="A1"/>
      <selection pane="topRight" activeCell="E1" activeCellId="0" sqref="E1"/>
      <selection pane="bottomLeft" activeCell="A4" activeCellId="0" sqref="A4"/>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8"/>
    <col collapsed="false" customWidth="true" hidden="false" outlineLevel="0" max="2" min="2" style="0" width="17"/>
    <col collapsed="false" customWidth="true" hidden="false" outlineLevel="0" max="3" min="3" style="0" width="10"/>
    <col collapsed="false" customWidth="true" hidden="false" outlineLevel="0" max="4" min="4" style="0" width="20"/>
    <col collapsed="false" customWidth="true" hidden="false" outlineLevel="0" max="5" min="5" style="0" width="52"/>
    <col collapsed="false" customWidth="true" hidden="false" outlineLevel="0" max="6" min="6" style="0" width="74"/>
    <col collapsed="false" customWidth="true" hidden="false" outlineLevel="0" max="7" min="7" style="0" width="44"/>
  </cols>
  <sheetData>
    <row r="1" customFormat="false" ht="30" hidden="false" customHeight="true" outlineLevel="0" collapsed="false">
      <c r="A1" s="1" t="s">
        <v>280</v>
      </c>
      <c r="B1" s="1"/>
      <c r="C1" s="1"/>
      <c r="D1" s="1"/>
      <c r="E1" s="1"/>
      <c r="F1" s="1"/>
      <c r="G1" s="1"/>
    </row>
    <row r="2" customFormat="false" ht="21.75" hidden="false" customHeight="true" outlineLevel="0" collapsed="false">
      <c r="A2" s="2" t="s">
        <v>281</v>
      </c>
      <c r="B2" s="2"/>
      <c r="C2" s="2"/>
      <c r="D2" s="2"/>
      <c r="E2" s="2"/>
      <c r="F2" s="2"/>
      <c r="G2" s="2"/>
    </row>
    <row r="3" customFormat="false" ht="30" hidden="false" customHeight="true" outlineLevel="0" collapsed="false">
      <c r="A3" s="7" t="s">
        <v>282</v>
      </c>
      <c r="B3" s="7" t="s">
        <v>44</v>
      </c>
      <c r="C3" s="7" t="s">
        <v>283</v>
      </c>
      <c r="D3" s="7" t="s">
        <v>284</v>
      </c>
      <c r="E3" s="7" t="s">
        <v>285</v>
      </c>
      <c r="F3" s="7" t="s">
        <v>286</v>
      </c>
      <c r="G3" s="7" t="s">
        <v>287</v>
      </c>
    </row>
    <row r="4" customFormat="false" ht="64.5" hidden="false" customHeight="true" outlineLevel="0" collapsed="false">
      <c r="A4" s="31" t="s">
        <v>288</v>
      </c>
      <c r="B4" s="32" t="s">
        <v>289</v>
      </c>
      <c r="C4" s="32" t="s">
        <v>290</v>
      </c>
      <c r="D4" s="9" t="s">
        <v>291</v>
      </c>
      <c r="E4" s="33" t="s">
        <v>292</v>
      </c>
      <c r="F4" s="9" t="s">
        <v>293</v>
      </c>
      <c r="G4" s="34" t="s">
        <v>294</v>
      </c>
    </row>
    <row r="5" customFormat="false" ht="52.5" hidden="false" customHeight="true" outlineLevel="0" collapsed="false">
      <c r="A5" s="35" t="s">
        <v>295</v>
      </c>
      <c r="B5" s="36" t="s">
        <v>289</v>
      </c>
      <c r="C5" s="36" t="s">
        <v>290</v>
      </c>
      <c r="D5" s="11" t="s">
        <v>296</v>
      </c>
      <c r="E5" s="37" t="s">
        <v>297</v>
      </c>
      <c r="F5" s="11" t="s">
        <v>298</v>
      </c>
      <c r="G5" s="38" t="s">
        <v>299</v>
      </c>
    </row>
    <row r="6" customFormat="false" ht="52.5" hidden="false" customHeight="true" outlineLevel="0" collapsed="false">
      <c r="A6" s="31" t="s">
        <v>300</v>
      </c>
      <c r="B6" s="32" t="s">
        <v>301</v>
      </c>
      <c r="C6" s="32" t="s">
        <v>290</v>
      </c>
      <c r="D6" s="9" t="s">
        <v>302</v>
      </c>
      <c r="E6" s="33" t="s">
        <v>303</v>
      </c>
      <c r="F6" s="9" t="s">
        <v>304</v>
      </c>
      <c r="G6" s="34" t="s">
        <v>305</v>
      </c>
    </row>
    <row r="7" customFormat="false" ht="64.5" hidden="false" customHeight="true" outlineLevel="0" collapsed="false">
      <c r="A7" s="35" t="s">
        <v>306</v>
      </c>
      <c r="B7" s="36" t="s">
        <v>301</v>
      </c>
      <c r="C7" s="36" t="s">
        <v>290</v>
      </c>
      <c r="D7" s="11" t="s">
        <v>307</v>
      </c>
      <c r="E7" s="37" t="s">
        <v>308</v>
      </c>
      <c r="F7" s="11" t="s">
        <v>309</v>
      </c>
      <c r="G7" s="38" t="s">
        <v>310</v>
      </c>
    </row>
    <row r="8" customFormat="false" ht="64.5" hidden="false" customHeight="true" outlineLevel="0" collapsed="false">
      <c r="A8" s="31" t="s">
        <v>311</v>
      </c>
      <c r="B8" s="32" t="s">
        <v>312</v>
      </c>
      <c r="C8" s="32" t="s">
        <v>313</v>
      </c>
      <c r="D8" s="9" t="s">
        <v>314</v>
      </c>
      <c r="E8" s="33" t="s">
        <v>315</v>
      </c>
      <c r="F8" s="9" t="s">
        <v>316</v>
      </c>
      <c r="G8" s="34" t="s">
        <v>317</v>
      </c>
    </row>
    <row r="9" customFormat="false" ht="64.5" hidden="false" customHeight="true" outlineLevel="0" collapsed="false">
      <c r="A9" s="35" t="s">
        <v>318</v>
      </c>
      <c r="B9" s="36" t="s">
        <v>319</v>
      </c>
      <c r="C9" s="36" t="s">
        <v>313</v>
      </c>
      <c r="D9" s="11" t="s">
        <v>320</v>
      </c>
      <c r="E9" s="37" t="s">
        <v>321</v>
      </c>
      <c r="F9" s="11" t="s">
        <v>322</v>
      </c>
      <c r="G9" s="38" t="s">
        <v>323</v>
      </c>
    </row>
    <row r="10" customFormat="false" ht="76.5" hidden="false" customHeight="true" outlineLevel="0" collapsed="false">
      <c r="A10" s="31" t="s">
        <v>324</v>
      </c>
      <c r="B10" s="32" t="s">
        <v>301</v>
      </c>
      <c r="C10" s="32" t="s">
        <v>290</v>
      </c>
      <c r="D10" s="9" t="s">
        <v>325</v>
      </c>
      <c r="E10" s="33" t="s">
        <v>326</v>
      </c>
      <c r="F10" s="9" t="s">
        <v>327</v>
      </c>
      <c r="G10" s="34" t="s">
        <v>328</v>
      </c>
    </row>
    <row r="11" customFormat="false" ht="64.5" hidden="false" customHeight="true" outlineLevel="0" collapsed="false">
      <c r="A11" s="35" t="s">
        <v>329</v>
      </c>
      <c r="B11" s="36" t="s">
        <v>301</v>
      </c>
      <c r="C11" s="36" t="s">
        <v>290</v>
      </c>
      <c r="D11" s="11" t="s">
        <v>330</v>
      </c>
      <c r="E11" s="37" t="s">
        <v>331</v>
      </c>
      <c r="F11" s="11" t="s">
        <v>332</v>
      </c>
      <c r="G11" s="38" t="s">
        <v>333</v>
      </c>
    </row>
    <row r="12" customFormat="false" ht="64.5" hidden="false" customHeight="true" outlineLevel="0" collapsed="false">
      <c r="A12" s="31" t="s">
        <v>334</v>
      </c>
      <c r="B12" s="32" t="s">
        <v>301</v>
      </c>
      <c r="C12" s="32" t="s">
        <v>290</v>
      </c>
      <c r="D12" s="9" t="s">
        <v>335</v>
      </c>
      <c r="E12" s="33" t="s">
        <v>336</v>
      </c>
      <c r="F12" s="9" t="s">
        <v>337</v>
      </c>
      <c r="G12" s="34" t="s">
        <v>338</v>
      </c>
    </row>
    <row r="13" customFormat="false" ht="64.5" hidden="false" customHeight="true" outlineLevel="0" collapsed="false">
      <c r="A13" s="35" t="s">
        <v>339</v>
      </c>
      <c r="B13" s="36" t="s">
        <v>301</v>
      </c>
      <c r="C13" s="36" t="s">
        <v>290</v>
      </c>
      <c r="D13" s="11" t="s">
        <v>340</v>
      </c>
      <c r="E13" s="37" t="s">
        <v>341</v>
      </c>
      <c r="F13" s="11" t="s">
        <v>342</v>
      </c>
      <c r="G13" s="38" t="s">
        <v>343</v>
      </c>
    </row>
    <row r="14" customFormat="false" ht="52.5" hidden="false" customHeight="true" outlineLevel="0" collapsed="false">
      <c r="A14" s="31" t="s">
        <v>344</v>
      </c>
      <c r="B14" s="32" t="s">
        <v>301</v>
      </c>
      <c r="C14" s="32" t="s">
        <v>290</v>
      </c>
      <c r="D14" s="9" t="s">
        <v>345</v>
      </c>
      <c r="E14" s="33" t="s">
        <v>346</v>
      </c>
      <c r="F14" s="9" t="s">
        <v>347</v>
      </c>
      <c r="G14" s="34" t="s">
        <v>348</v>
      </c>
    </row>
    <row r="15" customFormat="false" ht="76.5" hidden="false" customHeight="true" outlineLevel="0" collapsed="false">
      <c r="A15" s="35" t="s">
        <v>349</v>
      </c>
      <c r="B15" s="36" t="s">
        <v>319</v>
      </c>
      <c r="C15" s="36" t="s">
        <v>313</v>
      </c>
      <c r="D15" s="11" t="s">
        <v>350</v>
      </c>
      <c r="E15" s="37" t="s">
        <v>351</v>
      </c>
      <c r="F15" s="11" t="s">
        <v>352</v>
      </c>
      <c r="G15" s="38" t="s">
        <v>353</v>
      </c>
    </row>
    <row r="16" customFormat="false" ht="76.5" hidden="false" customHeight="true" outlineLevel="0" collapsed="false">
      <c r="A16" s="31" t="s">
        <v>354</v>
      </c>
      <c r="B16" s="32" t="s">
        <v>319</v>
      </c>
      <c r="C16" s="32" t="s">
        <v>355</v>
      </c>
      <c r="D16" s="9" t="s">
        <v>356</v>
      </c>
      <c r="E16" s="33" t="s">
        <v>357</v>
      </c>
      <c r="F16" s="9" t="s">
        <v>358</v>
      </c>
      <c r="G16" s="34" t="s">
        <v>359</v>
      </c>
    </row>
    <row r="17" customFormat="false" ht="76.5" hidden="false" customHeight="true" outlineLevel="0" collapsed="false">
      <c r="A17" s="35" t="s">
        <v>360</v>
      </c>
      <c r="B17" s="36" t="s">
        <v>301</v>
      </c>
      <c r="C17" s="36" t="s">
        <v>355</v>
      </c>
      <c r="D17" s="11" t="s">
        <v>361</v>
      </c>
      <c r="E17" s="37" t="s">
        <v>362</v>
      </c>
      <c r="F17" s="11" t="s">
        <v>363</v>
      </c>
      <c r="G17" s="38" t="s">
        <v>364</v>
      </c>
    </row>
    <row r="18" customFormat="false" ht="64.5" hidden="false" customHeight="true" outlineLevel="0" collapsed="false">
      <c r="A18" s="31" t="s">
        <v>365</v>
      </c>
      <c r="B18" s="32" t="s">
        <v>319</v>
      </c>
      <c r="C18" s="32" t="s">
        <v>355</v>
      </c>
      <c r="D18" s="9" t="s">
        <v>366</v>
      </c>
      <c r="E18" s="33" t="s">
        <v>367</v>
      </c>
      <c r="F18" s="9" t="s">
        <v>368</v>
      </c>
      <c r="G18" s="34" t="s">
        <v>369</v>
      </c>
    </row>
    <row r="19" customFormat="false" ht="64.5" hidden="false" customHeight="true" outlineLevel="0" collapsed="false">
      <c r="A19" s="35" t="s">
        <v>370</v>
      </c>
      <c r="B19" s="36" t="s">
        <v>301</v>
      </c>
      <c r="C19" s="36" t="s">
        <v>290</v>
      </c>
      <c r="D19" s="11" t="s">
        <v>371</v>
      </c>
      <c r="E19" s="37" t="s">
        <v>372</v>
      </c>
      <c r="F19" s="11" t="s">
        <v>373</v>
      </c>
      <c r="G19" s="38" t="s">
        <v>374</v>
      </c>
    </row>
    <row r="20" customFormat="false" ht="64.5" hidden="false" customHeight="true" outlineLevel="0" collapsed="false">
      <c r="A20" s="31" t="s">
        <v>375</v>
      </c>
      <c r="B20" s="32" t="s">
        <v>301</v>
      </c>
      <c r="C20" s="32" t="s">
        <v>290</v>
      </c>
      <c r="D20" s="9" t="s">
        <v>376</v>
      </c>
      <c r="E20" s="33" t="s">
        <v>377</v>
      </c>
      <c r="F20" s="9" t="s">
        <v>378</v>
      </c>
      <c r="G20" s="34" t="s">
        <v>379</v>
      </c>
    </row>
    <row r="21" customFormat="false" ht="64.5" hidden="false" customHeight="true" outlineLevel="0" collapsed="false">
      <c r="A21" s="35" t="s">
        <v>380</v>
      </c>
      <c r="B21" s="36" t="s">
        <v>319</v>
      </c>
      <c r="C21" s="36" t="s">
        <v>290</v>
      </c>
      <c r="D21" s="11" t="s">
        <v>381</v>
      </c>
      <c r="E21" s="37" t="s">
        <v>382</v>
      </c>
      <c r="F21" s="11" t="s">
        <v>383</v>
      </c>
      <c r="G21" s="38" t="s">
        <v>384</v>
      </c>
    </row>
    <row r="22" customFormat="false" ht="52.5" hidden="false" customHeight="true" outlineLevel="0" collapsed="false">
      <c r="A22" s="31" t="s">
        <v>385</v>
      </c>
      <c r="B22" s="32" t="s">
        <v>301</v>
      </c>
      <c r="C22" s="32" t="s">
        <v>290</v>
      </c>
      <c r="D22" s="9" t="s">
        <v>386</v>
      </c>
      <c r="E22" s="33" t="s">
        <v>387</v>
      </c>
      <c r="F22" s="9" t="s">
        <v>388</v>
      </c>
      <c r="G22" s="34" t="s">
        <v>389</v>
      </c>
    </row>
    <row r="23" customFormat="false" ht="76.5" hidden="false" customHeight="true" outlineLevel="0" collapsed="false">
      <c r="A23" s="35" t="s">
        <v>390</v>
      </c>
      <c r="B23" s="36" t="s">
        <v>319</v>
      </c>
      <c r="C23" s="36" t="s">
        <v>290</v>
      </c>
      <c r="D23" s="11" t="s">
        <v>391</v>
      </c>
      <c r="E23" s="37" t="s">
        <v>392</v>
      </c>
      <c r="F23" s="11" t="s">
        <v>393</v>
      </c>
      <c r="G23" s="38" t="s">
        <v>394</v>
      </c>
    </row>
    <row r="24" customFormat="false" ht="52.5" hidden="false" customHeight="true" outlineLevel="0" collapsed="false">
      <c r="A24" s="31" t="s">
        <v>395</v>
      </c>
      <c r="B24" s="32" t="s">
        <v>51</v>
      </c>
      <c r="C24" s="32" t="s">
        <v>290</v>
      </c>
      <c r="D24" s="9" t="s">
        <v>396</v>
      </c>
      <c r="E24" s="33" t="s">
        <v>397</v>
      </c>
      <c r="F24" s="9" t="s">
        <v>398</v>
      </c>
      <c r="G24" s="34" t="s">
        <v>399</v>
      </c>
    </row>
    <row r="25" customFormat="false" ht="52.5" hidden="false" customHeight="true" outlineLevel="0" collapsed="false">
      <c r="A25" s="35" t="s">
        <v>400</v>
      </c>
      <c r="B25" s="36" t="s">
        <v>301</v>
      </c>
      <c r="C25" s="36" t="s">
        <v>290</v>
      </c>
      <c r="D25" s="11" t="s">
        <v>401</v>
      </c>
      <c r="E25" s="37" t="s">
        <v>402</v>
      </c>
      <c r="F25" s="11" t="s">
        <v>403</v>
      </c>
      <c r="G25" s="38" t="s">
        <v>404</v>
      </c>
    </row>
    <row r="26" customFormat="false" ht="76.5" hidden="false" customHeight="true" outlineLevel="0" collapsed="false">
      <c r="A26" s="31" t="s">
        <v>405</v>
      </c>
      <c r="B26" s="32" t="s">
        <v>319</v>
      </c>
      <c r="C26" s="32" t="s">
        <v>313</v>
      </c>
      <c r="D26" s="9" t="s">
        <v>406</v>
      </c>
      <c r="E26" s="33" t="s">
        <v>407</v>
      </c>
      <c r="F26" s="9" t="s">
        <v>408</v>
      </c>
      <c r="G26" s="34" t="s">
        <v>409</v>
      </c>
    </row>
    <row r="27" customFormat="false" ht="76.5" hidden="false" customHeight="true" outlineLevel="0" collapsed="false">
      <c r="A27" s="35" t="s">
        <v>410</v>
      </c>
      <c r="B27" s="36" t="s">
        <v>319</v>
      </c>
      <c r="C27" s="36" t="s">
        <v>290</v>
      </c>
      <c r="D27" s="11" t="s">
        <v>411</v>
      </c>
      <c r="E27" s="37" t="s">
        <v>412</v>
      </c>
      <c r="F27" s="11" t="s">
        <v>413</v>
      </c>
      <c r="G27" s="38" t="s">
        <v>414</v>
      </c>
    </row>
    <row r="28" customFormat="false" ht="52.5" hidden="false" customHeight="true" outlineLevel="0" collapsed="false">
      <c r="A28" s="31" t="s">
        <v>415</v>
      </c>
      <c r="B28" s="32" t="s">
        <v>289</v>
      </c>
      <c r="C28" s="32" t="s">
        <v>290</v>
      </c>
      <c r="D28" s="9" t="s">
        <v>416</v>
      </c>
      <c r="E28" s="33" t="s">
        <v>417</v>
      </c>
      <c r="F28" s="9" t="s">
        <v>418</v>
      </c>
      <c r="G28" s="34" t="s">
        <v>419</v>
      </c>
    </row>
    <row r="29" customFormat="false" ht="64.5" hidden="false" customHeight="true" outlineLevel="0" collapsed="false">
      <c r="A29" s="35" t="s">
        <v>420</v>
      </c>
      <c r="B29" s="36" t="s">
        <v>319</v>
      </c>
      <c r="C29" s="36" t="s">
        <v>355</v>
      </c>
      <c r="D29" s="11" t="s">
        <v>421</v>
      </c>
      <c r="E29" s="37" t="s">
        <v>422</v>
      </c>
      <c r="F29" s="11" t="s">
        <v>423</v>
      </c>
      <c r="G29" s="38" t="s">
        <v>424</v>
      </c>
    </row>
    <row r="30" customFormat="false" ht="40.5" hidden="false" customHeight="true" outlineLevel="0" collapsed="false">
      <c r="A30" s="31" t="s">
        <v>425</v>
      </c>
      <c r="B30" s="32" t="s">
        <v>301</v>
      </c>
      <c r="C30" s="32" t="s">
        <v>290</v>
      </c>
      <c r="D30" s="9" t="s">
        <v>426</v>
      </c>
      <c r="E30" s="33" t="s">
        <v>427</v>
      </c>
      <c r="F30" s="9" t="s">
        <v>428</v>
      </c>
      <c r="G30" s="34" t="s">
        <v>429</v>
      </c>
    </row>
    <row r="31" customFormat="false" ht="64.5" hidden="false" customHeight="true" outlineLevel="0" collapsed="false">
      <c r="A31" s="35" t="s">
        <v>430</v>
      </c>
      <c r="B31" s="36" t="s">
        <v>319</v>
      </c>
      <c r="C31" s="36" t="s">
        <v>290</v>
      </c>
      <c r="D31" s="11" t="s">
        <v>431</v>
      </c>
      <c r="E31" s="37" t="s">
        <v>432</v>
      </c>
      <c r="F31" s="11" t="s">
        <v>433</v>
      </c>
      <c r="G31" s="38" t="s">
        <v>434</v>
      </c>
    </row>
    <row r="32" customFormat="false" ht="64.5" hidden="false" customHeight="true" outlineLevel="0" collapsed="false">
      <c r="A32" s="31" t="s">
        <v>435</v>
      </c>
      <c r="B32" s="32" t="s">
        <v>436</v>
      </c>
      <c r="C32" s="32" t="s">
        <v>290</v>
      </c>
      <c r="D32" s="9" t="s">
        <v>437</v>
      </c>
      <c r="E32" s="33" t="s">
        <v>438</v>
      </c>
      <c r="F32" s="9" t="s">
        <v>439</v>
      </c>
      <c r="G32" s="34" t="s">
        <v>440</v>
      </c>
    </row>
    <row r="33" customFormat="false" ht="64.5" hidden="false" customHeight="true" outlineLevel="0" collapsed="false">
      <c r="A33" s="35" t="s">
        <v>441</v>
      </c>
      <c r="B33" s="36" t="s">
        <v>319</v>
      </c>
      <c r="C33" s="36" t="s">
        <v>290</v>
      </c>
      <c r="D33" s="11" t="s">
        <v>442</v>
      </c>
      <c r="E33" s="37" t="s">
        <v>443</v>
      </c>
      <c r="F33" s="11" t="s">
        <v>444</v>
      </c>
      <c r="G33" s="38" t="s">
        <v>445</v>
      </c>
    </row>
  </sheetData>
  <autoFilter ref="A3:G33"/>
  <mergeCells count="2">
    <mergeCell ref="A1:G1"/>
    <mergeCell ref="A2:G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3" topLeftCell="E4" activePane="bottomRight" state="frozen"/>
      <selection pane="topLeft" activeCell="A1" activeCellId="0" sqref="A1"/>
      <selection pane="topRight" activeCell="E1" activeCellId="0" sqref="E1"/>
      <selection pane="bottomLeft" activeCell="A4" activeCellId="0" sqref="A4"/>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8"/>
    <col collapsed="false" customWidth="true" hidden="false" outlineLevel="0" max="2" min="2" style="0" width="17"/>
    <col collapsed="false" customWidth="true" hidden="false" outlineLevel="0" max="3" min="3" style="0" width="10"/>
    <col collapsed="false" customWidth="true" hidden="false" outlineLevel="0" max="4" min="4" style="0" width="20"/>
    <col collapsed="false" customWidth="true" hidden="false" outlineLevel="0" max="5" min="5" style="0" width="52"/>
    <col collapsed="false" customWidth="true" hidden="false" outlineLevel="0" max="6" min="6" style="0" width="74"/>
    <col collapsed="false" customWidth="true" hidden="false" outlineLevel="0" max="7" min="7" style="0" width="44"/>
  </cols>
  <sheetData>
    <row r="1" customFormat="false" ht="30" hidden="false" customHeight="true" outlineLevel="0" collapsed="false">
      <c r="A1" s="1" t="s">
        <v>446</v>
      </c>
      <c r="B1" s="1"/>
      <c r="C1" s="1"/>
      <c r="D1" s="1"/>
      <c r="E1" s="1"/>
      <c r="F1" s="1"/>
      <c r="G1" s="1"/>
    </row>
    <row r="2" customFormat="false" ht="21.75" hidden="false" customHeight="true" outlineLevel="0" collapsed="false">
      <c r="A2" s="2" t="s">
        <v>447</v>
      </c>
      <c r="B2" s="2"/>
      <c r="C2" s="2"/>
      <c r="D2" s="2"/>
      <c r="E2" s="2"/>
      <c r="F2" s="2"/>
      <c r="G2" s="2"/>
    </row>
    <row r="3" customFormat="false" ht="30" hidden="false" customHeight="true" outlineLevel="0" collapsed="false">
      <c r="A3" s="7" t="s">
        <v>282</v>
      </c>
      <c r="B3" s="7" t="s">
        <v>44</v>
      </c>
      <c r="C3" s="7" t="s">
        <v>283</v>
      </c>
      <c r="D3" s="7" t="s">
        <v>284</v>
      </c>
      <c r="E3" s="7" t="s">
        <v>285</v>
      </c>
      <c r="F3" s="7" t="s">
        <v>286</v>
      </c>
      <c r="G3" s="7" t="s">
        <v>287</v>
      </c>
    </row>
    <row r="4" customFormat="false" ht="52.5" hidden="false" customHeight="true" outlineLevel="0" collapsed="false">
      <c r="A4" s="31" t="s">
        <v>448</v>
      </c>
      <c r="B4" s="32" t="s">
        <v>289</v>
      </c>
      <c r="C4" s="32" t="s">
        <v>290</v>
      </c>
      <c r="D4" s="9" t="s">
        <v>291</v>
      </c>
      <c r="E4" s="33" t="s">
        <v>449</v>
      </c>
      <c r="F4" s="9" t="s">
        <v>450</v>
      </c>
      <c r="G4" s="34" t="s">
        <v>451</v>
      </c>
    </row>
    <row r="5" customFormat="false" ht="52.5" hidden="false" customHeight="true" outlineLevel="0" collapsed="false">
      <c r="A5" s="35" t="s">
        <v>452</v>
      </c>
      <c r="B5" s="36" t="s">
        <v>301</v>
      </c>
      <c r="C5" s="36" t="s">
        <v>290</v>
      </c>
      <c r="D5" s="11" t="s">
        <v>453</v>
      </c>
      <c r="E5" s="37" t="s">
        <v>454</v>
      </c>
      <c r="F5" s="11" t="s">
        <v>455</v>
      </c>
      <c r="G5" s="38" t="s">
        <v>456</v>
      </c>
    </row>
    <row r="6" customFormat="false" ht="64.5" hidden="false" customHeight="true" outlineLevel="0" collapsed="false">
      <c r="A6" s="31" t="s">
        <v>457</v>
      </c>
      <c r="B6" s="32" t="s">
        <v>301</v>
      </c>
      <c r="C6" s="32" t="s">
        <v>313</v>
      </c>
      <c r="D6" s="9" t="s">
        <v>458</v>
      </c>
      <c r="E6" s="33" t="s">
        <v>459</v>
      </c>
      <c r="F6" s="9" t="s">
        <v>460</v>
      </c>
      <c r="G6" s="34" t="s">
        <v>461</v>
      </c>
    </row>
    <row r="7" customFormat="false" ht="76.5" hidden="false" customHeight="true" outlineLevel="0" collapsed="false">
      <c r="A7" s="35" t="s">
        <v>462</v>
      </c>
      <c r="B7" s="36" t="s">
        <v>319</v>
      </c>
      <c r="C7" s="36" t="s">
        <v>313</v>
      </c>
      <c r="D7" s="11" t="s">
        <v>406</v>
      </c>
      <c r="E7" s="37" t="s">
        <v>463</v>
      </c>
      <c r="F7" s="11" t="s">
        <v>464</v>
      </c>
      <c r="G7" s="38" t="s">
        <v>465</v>
      </c>
    </row>
    <row r="8" customFormat="false" ht="64.5" hidden="false" customHeight="true" outlineLevel="0" collapsed="false">
      <c r="A8" s="31" t="s">
        <v>466</v>
      </c>
      <c r="B8" s="32" t="s">
        <v>301</v>
      </c>
      <c r="C8" s="32" t="s">
        <v>290</v>
      </c>
      <c r="D8" s="9" t="s">
        <v>467</v>
      </c>
      <c r="E8" s="33" t="s">
        <v>468</v>
      </c>
      <c r="F8" s="9" t="s">
        <v>469</v>
      </c>
      <c r="G8" s="34" t="s">
        <v>470</v>
      </c>
    </row>
    <row r="9" customFormat="false" ht="64.5" hidden="false" customHeight="true" outlineLevel="0" collapsed="false">
      <c r="A9" s="35" t="s">
        <v>471</v>
      </c>
      <c r="B9" s="36" t="s">
        <v>319</v>
      </c>
      <c r="C9" s="36" t="s">
        <v>290</v>
      </c>
      <c r="D9" s="11" t="s">
        <v>472</v>
      </c>
      <c r="E9" s="37" t="s">
        <v>473</v>
      </c>
      <c r="F9" s="11" t="s">
        <v>474</v>
      </c>
      <c r="G9" s="38" t="s">
        <v>475</v>
      </c>
    </row>
    <row r="10" customFormat="false" ht="64.5" hidden="false" customHeight="true" outlineLevel="0" collapsed="false">
      <c r="A10" s="31" t="s">
        <v>476</v>
      </c>
      <c r="B10" s="32" t="s">
        <v>301</v>
      </c>
      <c r="C10" s="32" t="s">
        <v>290</v>
      </c>
      <c r="D10" s="9" t="s">
        <v>477</v>
      </c>
      <c r="E10" s="33" t="s">
        <v>478</v>
      </c>
      <c r="F10" s="9" t="s">
        <v>479</v>
      </c>
      <c r="G10" s="34" t="s">
        <v>480</v>
      </c>
    </row>
    <row r="11" customFormat="false" ht="64.5" hidden="false" customHeight="true" outlineLevel="0" collapsed="false">
      <c r="A11" s="35" t="s">
        <v>481</v>
      </c>
      <c r="B11" s="36" t="s">
        <v>301</v>
      </c>
      <c r="C11" s="36" t="s">
        <v>290</v>
      </c>
      <c r="D11" s="11" t="s">
        <v>482</v>
      </c>
      <c r="E11" s="37" t="s">
        <v>483</v>
      </c>
      <c r="F11" s="11" t="s">
        <v>484</v>
      </c>
      <c r="G11" s="38" t="s">
        <v>485</v>
      </c>
    </row>
    <row r="12" customFormat="false" ht="64.5" hidden="false" customHeight="true" outlineLevel="0" collapsed="false">
      <c r="A12" s="31" t="s">
        <v>486</v>
      </c>
      <c r="B12" s="32" t="s">
        <v>301</v>
      </c>
      <c r="C12" s="32" t="s">
        <v>290</v>
      </c>
      <c r="D12" s="9" t="s">
        <v>487</v>
      </c>
      <c r="E12" s="33" t="s">
        <v>488</v>
      </c>
      <c r="F12" s="9" t="s">
        <v>489</v>
      </c>
      <c r="G12" s="34" t="s">
        <v>490</v>
      </c>
    </row>
    <row r="13" customFormat="false" ht="76.5" hidden="false" customHeight="true" outlineLevel="0" collapsed="false">
      <c r="A13" s="35" t="s">
        <v>491</v>
      </c>
      <c r="B13" s="36" t="s">
        <v>319</v>
      </c>
      <c r="C13" s="36" t="s">
        <v>355</v>
      </c>
      <c r="D13" s="11" t="s">
        <v>492</v>
      </c>
      <c r="E13" s="37" t="s">
        <v>493</v>
      </c>
      <c r="F13" s="11" t="s">
        <v>494</v>
      </c>
      <c r="G13" s="38" t="s">
        <v>495</v>
      </c>
    </row>
    <row r="14" customFormat="false" ht="64.5" hidden="false" customHeight="true" outlineLevel="0" collapsed="false">
      <c r="A14" s="31" t="s">
        <v>496</v>
      </c>
      <c r="B14" s="32" t="s">
        <v>301</v>
      </c>
      <c r="C14" s="32" t="s">
        <v>355</v>
      </c>
      <c r="D14" s="9" t="s">
        <v>497</v>
      </c>
      <c r="E14" s="33" t="s">
        <v>498</v>
      </c>
      <c r="F14" s="9" t="s">
        <v>499</v>
      </c>
      <c r="G14" s="34" t="s">
        <v>500</v>
      </c>
    </row>
    <row r="15" customFormat="false" ht="76.5" hidden="false" customHeight="true" outlineLevel="0" collapsed="false">
      <c r="A15" s="35" t="s">
        <v>501</v>
      </c>
      <c r="B15" s="36" t="s">
        <v>301</v>
      </c>
      <c r="C15" s="36" t="s">
        <v>290</v>
      </c>
      <c r="D15" s="11" t="s">
        <v>376</v>
      </c>
      <c r="E15" s="37" t="s">
        <v>502</v>
      </c>
      <c r="F15" s="11" t="s">
        <v>503</v>
      </c>
      <c r="G15" s="38" t="s">
        <v>504</v>
      </c>
    </row>
    <row r="16" customFormat="false" ht="76.5" hidden="false" customHeight="true" outlineLevel="0" collapsed="false">
      <c r="A16" s="31" t="s">
        <v>505</v>
      </c>
      <c r="B16" s="32" t="s">
        <v>319</v>
      </c>
      <c r="C16" s="32" t="s">
        <v>290</v>
      </c>
      <c r="D16" s="9" t="s">
        <v>506</v>
      </c>
      <c r="E16" s="33" t="s">
        <v>507</v>
      </c>
      <c r="F16" s="9" t="s">
        <v>508</v>
      </c>
      <c r="G16" s="34" t="s">
        <v>509</v>
      </c>
    </row>
    <row r="17" customFormat="false" ht="64.5" hidden="false" customHeight="true" outlineLevel="0" collapsed="false">
      <c r="A17" s="35" t="s">
        <v>510</v>
      </c>
      <c r="B17" s="36" t="s">
        <v>301</v>
      </c>
      <c r="C17" s="36" t="s">
        <v>290</v>
      </c>
      <c r="D17" s="11" t="s">
        <v>511</v>
      </c>
      <c r="E17" s="37" t="s">
        <v>512</v>
      </c>
      <c r="F17" s="11" t="s">
        <v>513</v>
      </c>
      <c r="G17" s="38" t="s">
        <v>514</v>
      </c>
    </row>
    <row r="18" customFormat="false" ht="76.5" hidden="false" customHeight="true" outlineLevel="0" collapsed="false">
      <c r="A18" s="31" t="s">
        <v>515</v>
      </c>
      <c r="B18" s="32" t="s">
        <v>319</v>
      </c>
      <c r="C18" s="32" t="s">
        <v>290</v>
      </c>
      <c r="D18" s="9" t="s">
        <v>381</v>
      </c>
      <c r="E18" s="33" t="s">
        <v>516</v>
      </c>
      <c r="F18" s="9" t="s">
        <v>517</v>
      </c>
      <c r="G18" s="34" t="s">
        <v>518</v>
      </c>
    </row>
    <row r="19" customFormat="false" ht="64.5" hidden="false" customHeight="true" outlineLevel="0" collapsed="false">
      <c r="A19" s="35" t="s">
        <v>519</v>
      </c>
      <c r="B19" s="36" t="s">
        <v>319</v>
      </c>
      <c r="C19" s="36" t="s">
        <v>290</v>
      </c>
      <c r="D19" s="11" t="s">
        <v>386</v>
      </c>
      <c r="E19" s="37" t="s">
        <v>520</v>
      </c>
      <c r="F19" s="11" t="s">
        <v>521</v>
      </c>
      <c r="G19" s="38" t="s">
        <v>522</v>
      </c>
    </row>
    <row r="20" customFormat="false" ht="64.5" hidden="false" customHeight="true" outlineLevel="0" collapsed="false">
      <c r="A20" s="31" t="s">
        <v>523</v>
      </c>
      <c r="B20" s="32" t="s">
        <v>289</v>
      </c>
      <c r="C20" s="32" t="s">
        <v>290</v>
      </c>
      <c r="D20" s="9" t="s">
        <v>524</v>
      </c>
      <c r="E20" s="33" t="s">
        <v>525</v>
      </c>
      <c r="F20" s="9" t="s">
        <v>526</v>
      </c>
      <c r="G20" s="34" t="s">
        <v>527</v>
      </c>
    </row>
    <row r="21" customFormat="false" ht="76.5" hidden="false" customHeight="true" outlineLevel="0" collapsed="false">
      <c r="A21" s="35" t="s">
        <v>528</v>
      </c>
      <c r="B21" s="36" t="s">
        <v>319</v>
      </c>
      <c r="C21" s="36" t="s">
        <v>290</v>
      </c>
      <c r="D21" s="11" t="s">
        <v>529</v>
      </c>
      <c r="E21" s="37" t="s">
        <v>530</v>
      </c>
      <c r="F21" s="11" t="s">
        <v>531</v>
      </c>
      <c r="G21" s="38" t="s">
        <v>532</v>
      </c>
    </row>
    <row r="22" customFormat="false" ht="89.25" hidden="false" customHeight="true" outlineLevel="0" collapsed="false">
      <c r="A22" s="31" t="s">
        <v>533</v>
      </c>
      <c r="B22" s="32" t="s">
        <v>301</v>
      </c>
      <c r="C22" s="32" t="s">
        <v>290</v>
      </c>
      <c r="D22" s="9" t="s">
        <v>534</v>
      </c>
      <c r="E22" s="33" t="s">
        <v>535</v>
      </c>
      <c r="F22" s="9" t="s">
        <v>536</v>
      </c>
      <c r="G22" s="34" t="s">
        <v>537</v>
      </c>
    </row>
    <row r="23" customFormat="false" ht="76.5" hidden="false" customHeight="true" outlineLevel="0" collapsed="false">
      <c r="A23" s="35" t="s">
        <v>538</v>
      </c>
      <c r="B23" s="36" t="s">
        <v>436</v>
      </c>
      <c r="C23" s="36" t="s">
        <v>290</v>
      </c>
      <c r="D23" s="11" t="s">
        <v>539</v>
      </c>
      <c r="E23" s="37" t="s">
        <v>540</v>
      </c>
      <c r="F23" s="11" t="s">
        <v>541</v>
      </c>
      <c r="G23" s="38" t="s">
        <v>542</v>
      </c>
    </row>
  </sheetData>
  <autoFilter ref="A3:G23"/>
  <mergeCells count="2">
    <mergeCell ref="A1:G1"/>
    <mergeCell ref="A2:G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3" topLeftCell="E4" activePane="bottomRight" state="frozen"/>
      <selection pane="topLeft" activeCell="A1" activeCellId="0" sqref="A1"/>
      <selection pane="topRight" activeCell="E1" activeCellId="0" sqref="E1"/>
      <selection pane="bottomLeft" activeCell="A4" activeCellId="0" sqref="A4"/>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8"/>
    <col collapsed="false" customWidth="true" hidden="false" outlineLevel="0" max="2" min="2" style="0" width="17"/>
    <col collapsed="false" customWidth="true" hidden="false" outlineLevel="0" max="3" min="3" style="0" width="10"/>
    <col collapsed="false" customWidth="true" hidden="false" outlineLevel="0" max="4" min="4" style="0" width="20"/>
    <col collapsed="false" customWidth="true" hidden="false" outlineLevel="0" max="5" min="5" style="0" width="52"/>
    <col collapsed="false" customWidth="true" hidden="false" outlineLevel="0" max="6" min="6" style="0" width="74"/>
    <col collapsed="false" customWidth="true" hidden="false" outlineLevel="0" max="7" min="7" style="0" width="44"/>
  </cols>
  <sheetData>
    <row r="1" customFormat="false" ht="30" hidden="false" customHeight="true" outlineLevel="0" collapsed="false">
      <c r="A1" s="1" t="s">
        <v>543</v>
      </c>
      <c r="B1" s="1"/>
      <c r="C1" s="1"/>
      <c r="D1" s="1"/>
      <c r="E1" s="1"/>
      <c r="F1" s="1"/>
      <c r="G1" s="1"/>
    </row>
    <row r="2" customFormat="false" ht="21.75" hidden="false" customHeight="true" outlineLevel="0" collapsed="false">
      <c r="A2" s="2" t="s">
        <v>544</v>
      </c>
      <c r="B2" s="2"/>
      <c r="C2" s="2"/>
      <c r="D2" s="2"/>
      <c r="E2" s="2"/>
      <c r="F2" s="2"/>
      <c r="G2" s="2"/>
    </row>
    <row r="3" customFormat="false" ht="30" hidden="false" customHeight="true" outlineLevel="0" collapsed="false">
      <c r="A3" s="7" t="s">
        <v>282</v>
      </c>
      <c r="B3" s="7" t="s">
        <v>44</v>
      </c>
      <c r="C3" s="7" t="s">
        <v>283</v>
      </c>
      <c r="D3" s="7" t="s">
        <v>284</v>
      </c>
      <c r="E3" s="7" t="s">
        <v>285</v>
      </c>
      <c r="F3" s="7" t="s">
        <v>286</v>
      </c>
      <c r="G3" s="7" t="s">
        <v>287</v>
      </c>
    </row>
    <row r="4" customFormat="false" ht="40.5" hidden="false" customHeight="true" outlineLevel="0" collapsed="false">
      <c r="A4" s="31" t="s">
        <v>545</v>
      </c>
      <c r="B4" s="32" t="s">
        <v>51</v>
      </c>
      <c r="C4" s="32" t="s">
        <v>290</v>
      </c>
      <c r="D4" s="9" t="s">
        <v>546</v>
      </c>
      <c r="E4" s="33" t="s">
        <v>547</v>
      </c>
      <c r="F4" s="9" t="s">
        <v>548</v>
      </c>
      <c r="G4" s="34" t="s">
        <v>549</v>
      </c>
    </row>
    <row r="5" customFormat="false" ht="40.5" hidden="false" customHeight="true" outlineLevel="0" collapsed="false">
      <c r="A5" s="35" t="s">
        <v>550</v>
      </c>
      <c r="B5" s="36" t="s">
        <v>289</v>
      </c>
      <c r="C5" s="36" t="s">
        <v>290</v>
      </c>
      <c r="D5" s="11" t="s">
        <v>551</v>
      </c>
      <c r="E5" s="37" t="s">
        <v>552</v>
      </c>
      <c r="F5" s="11" t="s">
        <v>553</v>
      </c>
      <c r="G5" s="38" t="s">
        <v>554</v>
      </c>
    </row>
    <row r="6" customFormat="false" ht="52.5" hidden="false" customHeight="true" outlineLevel="0" collapsed="false">
      <c r="A6" s="31" t="s">
        <v>555</v>
      </c>
      <c r="B6" s="32" t="s">
        <v>301</v>
      </c>
      <c r="C6" s="32" t="s">
        <v>290</v>
      </c>
      <c r="D6" s="9" t="s">
        <v>556</v>
      </c>
      <c r="E6" s="33" t="s">
        <v>557</v>
      </c>
      <c r="F6" s="9" t="s">
        <v>558</v>
      </c>
      <c r="G6" s="34" t="s">
        <v>559</v>
      </c>
    </row>
    <row r="7" customFormat="false" ht="40.5" hidden="false" customHeight="true" outlineLevel="0" collapsed="false">
      <c r="A7" s="35" t="s">
        <v>560</v>
      </c>
      <c r="B7" s="36" t="s">
        <v>301</v>
      </c>
      <c r="C7" s="36" t="s">
        <v>290</v>
      </c>
      <c r="D7" s="11" t="s">
        <v>556</v>
      </c>
      <c r="E7" s="37" t="s">
        <v>561</v>
      </c>
      <c r="F7" s="11" t="s">
        <v>562</v>
      </c>
      <c r="G7" s="38" t="s">
        <v>563</v>
      </c>
    </row>
    <row r="8" customFormat="false" ht="64.5" hidden="false" customHeight="true" outlineLevel="0" collapsed="false">
      <c r="A8" s="31" t="s">
        <v>564</v>
      </c>
      <c r="B8" s="32" t="s">
        <v>319</v>
      </c>
      <c r="C8" s="32" t="s">
        <v>355</v>
      </c>
      <c r="D8" s="9" t="s">
        <v>565</v>
      </c>
      <c r="E8" s="33" t="s">
        <v>566</v>
      </c>
      <c r="F8" s="9" t="s">
        <v>567</v>
      </c>
      <c r="G8" s="34" t="s">
        <v>568</v>
      </c>
    </row>
    <row r="9" customFormat="false" ht="76.5" hidden="false" customHeight="true" outlineLevel="0" collapsed="false">
      <c r="A9" s="35" t="s">
        <v>569</v>
      </c>
      <c r="B9" s="36" t="s">
        <v>319</v>
      </c>
      <c r="C9" s="36" t="s">
        <v>355</v>
      </c>
      <c r="D9" s="11" t="s">
        <v>570</v>
      </c>
      <c r="E9" s="37" t="s">
        <v>571</v>
      </c>
      <c r="F9" s="11" t="s">
        <v>572</v>
      </c>
      <c r="G9" s="38" t="s">
        <v>573</v>
      </c>
    </row>
    <row r="10" customFormat="false" ht="52.5" hidden="false" customHeight="true" outlineLevel="0" collapsed="false">
      <c r="A10" s="31" t="s">
        <v>574</v>
      </c>
      <c r="B10" s="32" t="s">
        <v>319</v>
      </c>
      <c r="C10" s="32" t="s">
        <v>313</v>
      </c>
      <c r="D10" s="9" t="s">
        <v>575</v>
      </c>
      <c r="E10" s="33" t="s">
        <v>576</v>
      </c>
      <c r="F10" s="9" t="s">
        <v>577</v>
      </c>
      <c r="G10" s="34" t="s">
        <v>578</v>
      </c>
    </row>
    <row r="11" customFormat="false" ht="64.5" hidden="false" customHeight="true" outlineLevel="0" collapsed="false">
      <c r="A11" s="35" t="s">
        <v>579</v>
      </c>
      <c r="B11" s="36" t="s">
        <v>301</v>
      </c>
      <c r="C11" s="36" t="s">
        <v>290</v>
      </c>
      <c r="D11" s="11" t="s">
        <v>381</v>
      </c>
      <c r="E11" s="37" t="s">
        <v>580</v>
      </c>
      <c r="F11" s="11" t="s">
        <v>581</v>
      </c>
      <c r="G11" s="38" t="s">
        <v>582</v>
      </c>
    </row>
    <row r="12" customFormat="false" ht="64.5" hidden="false" customHeight="true" outlineLevel="0" collapsed="false">
      <c r="A12" s="31" t="s">
        <v>583</v>
      </c>
      <c r="B12" s="32" t="s">
        <v>319</v>
      </c>
      <c r="C12" s="32" t="s">
        <v>290</v>
      </c>
      <c r="D12" s="9" t="s">
        <v>584</v>
      </c>
      <c r="E12" s="33" t="s">
        <v>585</v>
      </c>
      <c r="F12" s="9" t="s">
        <v>586</v>
      </c>
      <c r="G12" s="34" t="s">
        <v>587</v>
      </c>
    </row>
    <row r="13" customFormat="false" ht="64.5" hidden="false" customHeight="true" outlineLevel="0" collapsed="false">
      <c r="A13" s="35" t="s">
        <v>588</v>
      </c>
      <c r="B13" s="36" t="s">
        <v>301</v>
      </c>
      <c r="C13" s="36" t="s">
        <v>290</v>
      </c>
      <c r="D13" s="11" t="s">
        <v>589</v>
      </c>
      <c r="E13" s="37" t="s">
        <v>590</v>
      </c>
      <c r="F13" s="11" t="s">
        <v>591</v>
      </c>
      <c r="G13" s="38" t="s">
        <v>592</v>
      </c>
    </row>
    <row r="14" customFormat="false" ht="52.5" hidden="false" customHeight="true" outlineLevel="0" collapsed="false">
      <c r="A14" s="31" t="s">
        <v>593</v>
      </c>
      <c r="B14" s="32" t="s">
        <v>289</v>
      </c>
      <c r="C14" s="32" t="s">
        <v>290</v>
      </c>
      <c r="D14" s="9" t="s">
        <v>594</v>
      </c>
      <c r="E14" s="33" t="s">
        <v>595</v>
      </c>
      <c r="F14" s="9" t="s">
        <v>596</v>
      </c>
      <c r="G14" s="34" t="s">
        <v>597</v>
      </c>
    </row>
    <row r="15" customFormat="false" ht="64.5" hidden="false" customHeight="true" outlineLevel="0" collapsed="false">
      <c r="A15" s="35" t="s">
        <v>598</v>
      </c>
      <c r="B15" s="36" t="s">
        <v>319</v>
      </c>
      <c r="C15" s="36" t="s">
        <v>290</v>
      </c>
      <c r="D15" s="11" t="s">
        <v>599</v>
      </c>
      <c r="E15" s="37" t="s">
        <v>600</v>
      </c>
      <c r="F15" s="11" t="s">
        <v>601</v>
      </c>
      <c r="G15" s="38" t="s">
        <v>602</v>
      </c>
    </row>
    <row r="16" customFormat="false" ht="64.5" hidden="false" customHeight="true" outlineLevel="0" collapsed="false">
      <c r="A16" s="31" t="s">
        <v>603</v>
      </c>
      <c r="B16" s="32" t="s">
        <v>301</v>
      </c>
      <c r="C16" s="32" t="s">
        <v>290</v>
      </c>
      <c r="D16" s="9" t="s">
        <v>604</v>
      </c>
      <c r="E16" s="33" t="s">
        <v>605</v>
      </c>
      <c r="F16" s="9" t="s">
        <v>606</v>
      </c>
      <c r="G16" s="34" t="s">
        <v>607</v>
      </c>
    </row>
    <row r="17" customFormat="false" ht="64.5" hidden="false" customHeight="true" outlineLevel="0" collapsed="false">
      <c r="A17" s="35" t="s">
        <v>608</v>
      </c>
      <c r="B17" s="36" t="s">
        <v>301</v>
      </c>
      <c r="C17" s="36" t="s">
        <v>290</v>
      </c>
      <c r="D17" s="11" t="s">
        <v>609</v>
      </c>
      <c r="E17" s="37" t="s">
        <v>610</v>
      </c>
      <c r="F17" s="11" t="s">
        <v>611</v>
      </c>
      <c r="G17" s="38" t="s">
        <v>612</v>
      </c>
    </row>
    <row r="18" customFormat="false" ht="64.5" hidden="false" customHeight="true" outlineLevel="0" collapsed="false">
      <c r="A18" s="31" t="s">
        <v>613</v>
      </c>
      <c r="B18" s="32" t="s">
        <v>436</v>
      </c>
      <c r="C18" s="32" t="s">
        <v>290</v>
      </c>
      <c r="D18" s="9" t="s">
        <v>437</v>
      </c>
      <c r="E18" s="33" t="s">
        <v>614</v>
      </c>
      <c r="F18" s="9" t="s">
        <v>615</v>
      </c>
      <c r="G18" s="34" t="s">
        <v>616</v>
      </c>
    </row>
    <row r="19" customFormat="false" ht="52.5" hidden="false" customHeight="true" outlineLevel="0" collapsed="false">
      <c r="A19" s="35" t="s">
        <v>617</v>
      </c>
      <c r="B19" s="36" t="s">
        <v>319</v>
      </c>
      <c r="C19" s="36" t="s">
        <v>313</v>
      </c>
      <c r="D19" s="11" t="s">
        <v>618</v>
      </c>
      <c r="E19" s="37" t="s">
        <v>619</v>
      </c>
      <c r="F19" s="11" t="s">
        <v>620</v>
      </c>
      <c r="G19" s="38" t="s">
        <v>621</v>
      </c>
    </row>
    <row r="20" customFormat="false" ht="52.5" hidden="false" customHeight="true" outlineLevel="0" collapsed="false">
      <c r="A20" s="31" t="s">
        <v>622</v>
      </c>
      <c r="B20" s="32" t="s">
        <v>70</v>
      </c>
      <c r="C20" s="32" t="s">
        <v>290</v>
      </c>
      <c r="D20" s="9" t="s">
        <v>623</v>
      </c>
      <c r="E20" s="33" t="s">
        <v>624</v>
      </c>
      <c r="F20" s="9" t="s">
        <v>625</v>
      </c>
      <c r="G20" s="34" t="s">
        <v>626</v>
      </c>
    </row>
    <row r="21" customFormat="false" ht="64.5" hidden="false" customHeight="true" outlineLevel="0" collapsed="false">
      <c r="A21" s="35" t="s">
        <v>627</v>
      </c>
      <c r="B21" s="36" t="s">
        <v>319</v>
      </c>
      <c r="C21" s="36" t="s">
        <v>355</v>
      </c>
      <c r="D21" s="11" t="s">
        <v>628</v>
      </c>
      <c r="E21" s="37" t="s">
        <v>629</v>
      </c>
      <c r="F21" s="11" t="s">
        <v>630</v>
      </c>
      <c r="G21" s="38" t="s">
        <v>631</v>
      </c>
    </row>
    <row r="22" customFormat="false" ht="64.5" hidden="false" customHeight="true" outlineLevel="0" collapsed="false">
      <c r="A22" s="31" t="s">
        <v>632</v>
      </c>
      <c r="B22" s="32" t="s">
        <v>319</v>
      </c>
      <c r="C22" s="32" t="s">
        <v>290</v>
      </c>
      <c r="D22" s="9" t="s">
        <v>633</v>
      </c>
      <c r="E22" s="33" t="s">
        <v>634</v>
      </c>
      <c r="F22" s="9" t="s">
        <v>635</v>
      </c>
      <c r="G22" s="34" t="s">
        <v>636</v>
      </c>
    </row>
    <row r="23" customFormat="false" ht="52.5" hidden="false" customHeight="true" outlineLevel="0" collapsed="false">
      <c r="A23" s="35" t="s">
        <v>637</v>
      </c>
      <c r="B23" s="36" t="s">
        <v>51</v>
      </c>
      <c r="C23" s="36" t="s">
        <v>290</v>
      </c>
      <c r="D23" s="11" t="s">
        <v>638</v>
      </c>
      <c r="E23" s="37" t="s">
        <v>639</v>
      </c>
      <c r="F23" s="11" t="s">
        <v>640</v>
      </c>
      <c r="G23" s="38" t="s">
        <v>641</v>
      </c>
    </row>
    <row r="24" customFormat="false" ht="52.5" hidden="false" customHeight="true" outlineLevel="0" collapsed="false">
      <c r="A24" s="31" t="s">
        <v>642</v>
      </c>
      <c r="B24" s="32" t="s">
        <v>319</v>
      </c>
      <c r="C24" s="32" t="s">
        <v>290</v>
      </c>
      <c r="D24" s="9" t="s">
        <v>643</v>
      </c>
      <c r="E24" s="33" t="s">
        <v>644</v>
      </c>
      <c r="F24" s="9" t="s">
        <v>645</v>
      </c>
      <c r="G24" s="34" t="s">
        <v>646</v>
      </c>
    </row>
    <row r="25" customFormat="false" ht="64.5" hidden="false" customHeight="true" outlineLevel="0" collapsed="false">
      <c r="A25" s="35" t="s">
        <v>647</v>
      </c>
      <c r="B25" s="36" t="s">
        <v>301</v>
      </c>
      <c r="C25" s="36" t="s">
        <v>290</v>
      </c>
      <c r="D25" s="11" t="s">
        <v>648</v>
      </c>
      <c r="E25" s="37" t="s">
        <v>649</v>
      </c>
      <c r="F25" s="11" t="s">
        <v>650</v>
      </c>
      <c r="G25" s="38" t="s">
        <v>651</v>
      </c>
    </row>
  </sheetData>
  <autoFilter ref="A3:G25"/>
  <mergeCells count="2">
    <mergeCell ref="A1:G1"/>
    <mergeCell ref="A2:G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3" topLeftCell="E4" activePane="bottomRight" state="frozen"/>
      <selection pane="topLeft" activeCell="A1" activeCellId="0" sqref="A1"/>
      <selection pane="topRight" activeCell="E1" activeCellId="0" sqref="E1"/>
      <selection pane="bottomLeft" activeCell="A4" activeCellId="0" sqref="A4"/>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8"/>
    <col collapsed="false" customWidth="true" hidden="false" outlineLevel="0" max="2" min="2" style="0" width="17"/>
    <col collapsed="false" customWidth="true" hidden="false" outlineLevel="0" max="3" min="3" style="0" width="10"/>
    <col collapsed="false" customWidth="true" hidden="false" outlineLevel="0" max="4" min="4" style="0" width="20"/>
    <col collapsed="false" customWidth="true" hidden="false" outlineLevel="0" max="5" min="5" style="0" width="52"/>
    <col collapsed="false" customWidth="true" hidden="false" outlineLevel="0" max="6" min="6" style="0" width="74"/>
    <col collapsed="false" customWidth="true" hidden="false" outlineLevel="0" max="7" min="7" style="0" width="44"/>
  </cols>
  <sheetData>
    <row r="1" customFormat="false" ht="30" hidden="false" customHeight="true" outlineLevel="0" collapsed="false">
      <c r="A1" s="1" t="s">
        <v>652</v>
      </c>
      <c r="B1" s="1"/>
      <c r="C1" s="1"/>
      <c r="D1" s="1"/>
      <c r="E1" s="1"/>
      <c r="F1" s="1"/>
      <c r="G1" s="1"/>
    </row>
    <row r="2" customFormat="false" ht="21.75" hidden="false" customHeight="true" outlineLevel="0" collapsed="false">
      <c r="A2" s="2" t="s">
        <v>653</v>
      </c>
      <c r="B2" s="2"/>
      <c r="C2" s="2"/>
      <c r="D2" s="2"/>
      <c r="E2" s="2"/>
      <c r="F2" s="2"/>
      <c r="G2" s="2"/>
    </row>
    <row r="3" customFormat="false" ht="30" hidden="false" customHeight="true" outlineLevel="0" collapsed="false">
      <c r="A3" s="7" t="s">
        <v>282</v>
      </c>
      <c r="B3" s="7" t="s">
        <v>44</v>
      </c>
      <c r="C3" s="7" t="s">
        <v>283</v>
      </c>
      <c r="D3" s="7" t="s">
        <v>284</v>
      </c>
      <c r="E3" s="7" t="s">
        <v>285</v>
      </c>
      <c r="F3" s="7" t="s">
        <v>286</v>
      </c>
      <c r="G3" s="7" t="s">
        <v>287</v>
      </c>
    </row>
    <row r="4" customFormat="false" ht="64.5" hidden="false" customHeight="true" outlineLevel="0" collapsed="false">
      <c r="A4" s="31" t="s">
        <v>654</v>
      </c>
      <c r="B4" s="32" t="s">
        <v>655</v>
      </c>
      <c r="C4" s="32" t="s">
        <v>290</v>
      </c>
      <c r="D4" s="9" t="s">
        <v>656</v>
      </c>
      <c r="E4" s="33" t="s">
        <v>657</v>
      </c>
      <c r="F4" s="9" t="s">
        <v>658</v>
      </c>
      <c r="G4" s="34" t="s">
        <v>659</v>
      </c>
    </row>
    <row r="5" customFormat="false" ht="64.5" hidden="false" customHeight="true" outlineLevel="0" collapsed="false">
      <c r="A5" s="35" t="s">
        <v>660</v>
      </c>
      <c r="B5" s="36" t="s">
        <v>661</v>
      </c>
      <c r="C5" s="36" t="s">
        <v>290</v>
      </c>
      <c r="D5" s="11" t="s">
        <v>662</v>
      </c>
      <c r="E5" s="37" t="s">
        <v>663</v>
      </c>
      <c r="F5" s="11" t="s">
        <v>664</v>
      </c>
      <c r="G5" s="38" t="s">
        <v>665</v>
      </c>
    </row>
    <row r="6" customFormat="false" ht="76.5" hidden="false" customHeight="true" outlineLevel="0" collapsed="false">
      <c r="A6" s="31" t="s">
        <v>666</v>
      </c>
      <c r="B6" s="32" t="s">
        <v>667</v>
      </c>
      <c r="C6" s="32" t="s">
        <v>290</v>
      </c>
      <c r="D6" s="9" t="s">
        <v>668</v>
      </c>
      <c r="E6" s="33" t="s">
        <v>669</v>
      </c>
      <c r="F6" s="9" t="s">
        <v>670</v>
      </c>
      <c r="G6" s="34" t="s">
        <v>671</v>
      </c>
    </row>
    <row r="7" customFormat="false" ht="64.5" hidden="false" customHeight="true" outlineLevel="0" collapsed="false">
      <c r="A7" s="35" t="s">
        <v>672</v>
      </c>
      <c r="B7" s="36" t="s">
        <v>661</v>
      </c>
      <c r="C7" s="36" t="s">
        <v>290</v>
      </c>
      <c r="D7" s="11" t="s">
        <v>673</v>
      </c>
      <c r="E7" s="37" t="s">
        <v>674</v>
      </c>
      <c r="F7" s="11" t="s">
        <v>675</v>
      </c>
      <c r="G7" s="38" t="s">
        <v>676</v>
      </c>
    </row>
    <row r="8" customFormat="false" ht="64.5" hidden="false" customHeight="true" outlineLevel="0" collapsed="false">
      <c r="A8" s="31" t="s">
        <v>677</v>
      </c>
      <c r="B8" s="32" t="s">
        <v>667</v>
      </c>
      <c r="C8" s="32" t="s">
        <v>290</v>
      </c>
      <c r="D8" s="9" t="s">
        <v>678</v>
      </c>
      <c r="E8" s="33" t="s">
        <v>679</v>
      </c>
      <c r="F8" s="9" t="s">
        <v>680</v>
      </c>
      <c r="G8" s="34" t="s">
        <v>681</v>
      </c>
    </row>
    <row r="9" customFormat="false" ht="64.5" hidden="false" customHeight="true" outlineLevel="0" collapsed="false">
      <c r="A9" s="35" t="s">
        <v>682</v>
      </c>
      <c r="B9" s="36" t="s">
        <v>436</v>
      </c>
      <c r="C9" s="36" t="s">
        <v>290</v>
      </c>
      <c r="D9" s="11" t="s">
        <v>678</v>
      </c>
      <c r="E9" s="37" t="s">
        <v>683</v>
      </c>
      <c r="F9" s="11" t="s">
        <v>684</v>
      </c>
      <c r="G9" s="38" t="s">
        <v>685</v>
      </c>
    </row>
    <row r="10" customFormat="false" ht="64.5" hidden="false" customHeight="true" outlineLevel="0" collapsed="false">
      <c r="A10" s="31" t="s">
        <v>686</v>
      </c>
      <c r="B10" s="32" t="s">
        <v>667</v>
      </c>
      <c r="C10" s="32" t="s">
        <v>290</v>
      </c>
      <c r="D10" s="9" t="s">
        <v>687</v>
      </c>
      <c r="E10" s="33" t="s">
        <v>688</v>
      </c>
      <c r="F10" s="9" t="s">
        <v>689</v>
      </c>
      <c r="G10" s="34" t="s">
        <v>690</v>
      </c>
    </row>
    <row r="11" customFormat="false" ht="64.5" hidden="false" customHeight="true" outlineLevel="0" collapsed="false">
      <c r="A11" s="35" t="s">
        <v>691</v>
      </c>
      <c r="B11" s="36" t="s">
        <v>655</v>
      </c>
      <c r="C11" s="36" t="s">
        <v>290</v>
      </c>
      <c r="D11" s="11" t="s">
        <v>692</v>
      </c>
      <c r="E11" s="37" t="s">
        <v>693</v>
      </c>
      <c r="F11" s="11" t="s">
        <v>694</v>
      </c>
      <c r="G11" s="38" t="s">
        <v>695</v>
      </c>
    </row>
    <row r="12" customFormat="false" ht="64.5" hidden="false" customHeight="true" outlineLevel="0" collapsed="false">
      <c r="A12" s="31" t="s">
        <v>696</v>
      </c>
      <c r="B12" s="32" t="s">
        <v>661</v>
      </c>
      <c r="C12" s="32" t="s">
        <v>290</v>
      </c>
      <c r="D12" s="9" t="s">
        <v>697</v>
      </c>
      <c r="E12" s="33" t="s">
        <v>698</v>
      </c>
      <c r="F12" s="9" t="s">
        <v>699</v>
      </c>
      <c r="G12" s="34" t="s">
        <v>700</v>
      </c>
    </row>
    <row r="13" customFormat="false" ht="64.5" hidden="false" customHeight="true" outlineLevel="0" collapsed="false">
      <c r="A13" s="35" t="s">
        <v>701</v>
      </c>
      <c r="B13" s="36" t="s">
        <v>667</v>
      </c>
      <c r="C13" s="36" t="s">
        <v>290</v>
      </c>
      <c r="D13" s="11" t="s">
        <v>702</v>
      </c>
      <c r="E13" s="37" t="s">
        <v>703</v>
      </c>
      <c r="F13" s="11" t="s">
        <v>704</v>
      </c>
      <c r="G13" s="38" t="s">
        <v>705</v>
      </c>
    </row>
    <row r="14" customFormat="false" ht="64.5" hidden="false" customHeight="true" outlineLevel="0" collapsed="false">
      <c r="A14" s="31" t="s">
        <v>706</v>
      </c>
      <c r="B14" s="32" t="s">
        <v>661</v>
      </c>
      <c r="C14" s="32" t="s">
        <v>355</v>
      </c>
      <c r="D14" s="9" t="s">
        <v>707</v>
      </c>
      <c r="E14" s="33" t="s">
        <v>708</v>
      </c>
      <c r="F14" s="9" t="s">
        <v>709</v>
      </c>
      <c r="G14" s="34" t="s">
        <v>710</v>
      </c>
    </row>
    <row r="15" customFormat="false" ht="64.5" hidden="false" customHeight="true" outlineLevel="0" collapsed="false">
      <c r="A15" s="35" t="s">
        <v>711</v>
      </c>
      <c r="B15" s="36" t="s">
        <v>667</v>
      </c>
      <c r="C15" s="36" t="s">
        <v>290</v>
      </c>
      <c r="D15" s="11" t="s">
        <v>712</v>
      </c>
      <c r="E15" s="37" t="s">
        <v>713</v>
      </c>
      <c r="F15" s="11" t="s">
        <v>714</v>
      </c>
      <c r="G15" s="38" t="s">
        <v>715</v>
      </c>
    </row>
    <row r="16" customFormat="false" ht="64.5" hidden="false" customHeight="true" outlineLevel="0" collapsed="false">
      <c r="A16" s="31" t="s">
        <v>716</v>
      </c>
      <c r="B16" s="32" t="s">
        <v>655</v>
      </c>
      <c r="C16" s="32" t="s">
        <v>290</v>
      </c>
      <c r="D16" s="9" t="s">
        <v>237</v>
      </c>
      <c r="E16" s="33" t="s">
        <v>717</v>
      </c>
      <c r="F16" s="9" t="s">
        <v>718</v>
      </c>
      <c r="G16" s="34" t="s">
        <v>719</v>
      </c>
    </row>
    <row r="17" customFormat="false" ht="64.5" hidden="false" customHeight="true" outlineLevel="0" collapsed="false">
      <c r="A17" s="35" t="s">
        <v>720</v>
      </c>
      <c r="B17" s="36" t="s">
        <v>661</v>
      </c>
      <c r="C17" s="36" t="s">
        <v>313</v>
      </c>
      <c r="D17" s="11" t="s">
        <v>721</v>
      </c>
      <c r="E17" s="37" t="s">
        <v>722</v>
      </c>
      <c r="F17" s="11" t="s">
        <v>723</v>
      </c>
      <c r="G17" s="38" t="s">
        <v>724</v>
      </c>
    </row>
    <row r="18" customFormat="false" ht="64.5" hidden="false" customHeight="true" outlineLevel="0" collapsed="false">
      <c r="A18" s="31" t="s">
        <v>725</v>
      </c>
      <c r="B18" s="32" t="s">
        <v>667</v>
      </c>
      <c r="C18" s="32" t="s">
        <v>290</v>
      </c>
      <c r="D18" s="9" t="s">
        <v>726</v>
      </c>
      <c r="E18" s="33" t="s">
        <v>727</v>
      </c>
      <c r="F18" s="9" t="s">
        <v>728</v>
      </c>
      <c r="G18" s="34" t="s">
        <v>729</v>
      </c>
    </row>
    <row r="19" customFormat="false" ht="64.5" hidden="false" customHeight="true" outlineLevel="0" collapsed="false">
      <c r="A19" s="35" t="s">
        <v>730</v>
      </c>
      <c r="B19" s="36" t="s">
        <v>436</v>
      </c>
      <c r="C19" s="36" t="s">
        <v>290</v>
      </c>
      <c r="D19" s="11" t="s">
        <v>731</v>
      </c>
      <c r="E19" s="37" t="s">
        <v>732</v>
      </c>
      <c r="F19" s="11" t="s">
        <v>733</v>
      </c>
      <c r="G19" s="38" t="s">
        <v>734</v>
      </c>
    </row>
    <row r="20" customFormat="false" ht="40.5" hidden="false" customHeight="true" outlineLevel="0" collapsed="false">
      <c r="A20" s="31" t="s">
        <v>735</v>
      </c>
      <c r="B20" s="32" t="s">
        <v>655</v>
      </c>
      <c r="C20" s="32" t="s">
        <v>290</v>
      </c>
      <c r="D20" s="9" t="s">
        <v>736</v>
      </c>
      <c r="E20" s="33" t="s">
        <v>737</v>
      </c>
      <c r="F20" s="9" t="s">
        <v>738</v>
      </c>
      <c r="G20" s="34" t="s">
        <v>739</v>
      </c>
    </row>
    <row r="21" customFormat="false" ht="64.5" hidden="false" customHeight="true" outlineLevel="0" collapsed="false">
      <c r="A21" s="35" t="s">
        <v>740</v>
      </c>
      <c r="B21" s="36" t="s">
        <v>667</v>
      </c>
      <c r="C21" s="36" t="s">
        <v>290</v>
      </c>
      <c r="D21" s="11" t="s">
        <v>741</v>
      </c>
      <c r="E21" s="37" t="s">
        <v>742</v>
      </c>
      <c r="F21" s="11" t="s">
        <v>743</v>
      </c>
      <c r="G21" s="38" t="s">
        <v>744</v>
      </c>
    </row>
    <row r="22" customFormat="false" ht="64.5" hidden="false" customHeight="true" outlineLevel="0" collapsed="false">
      <c r="A22" s="31" t="s">
        <v>745</v>
      </c>
      <c r="B22" s="32" t="s">
        <v>661</v>
      </c>
      <c r="C22" s="32" t="s">
        <v>290</v>
      </c>
      <c r="D22" s="9" t="s">
        <v>746</v>
      </c>
      <c r="E22" s="33" t="s">
        <v>747</v>
      </c>
      <c r="F22" s="9" t="s">
        <v>748</v>
      </c>
      <c r="G22" s="34" t="s">
        <v>749</v>
      </c>
    </row>
    <row r="23" customFormat="false" ht="52.5" hidden="false" customHeight="true" outlineLevel="0" collapsed="false">
      <c r="A23" s="35" t="s">
        <v>750</v>
      </c>
      <c r="B23" s="36" t="s">
        <v>436</v>
      </c>
      <c r="C23" s="36" t="s">
        <v>290</v>
      </c>
      <c r="D23" s="11" t="s">
        <v>751</v>
      </c>
      <c r="E23" s="37" t="s">
        <v>752</v>
      </c>
      <c r="F23" s="11" t="s">
        <v>753</v>
      </c>
      <c r="G23" s="38" t="s">
        <v>754</v>
      </c>
    </row>
    <row r="24" customFormat="false" ht="64.5" hidden="false" customHeight="true" outlineLevel="0" collapsed="false">
      <c r="A24" s="31" t="s">
        <v>755</v>
      </c>
      <c r="B24" s="32" t="s">
        <v>655</v>
      </c>
      <c r="C24" s="32" t="s">
        <v>290</v>
      </c>
      <c r="D24" s="9" t="s">
        <v>756</v>
      </c>
      <c r="E24" s="33" t="s">
        <v>757</v>
      </c>
      <c r="F24" s="9" t="s">
        <v>758</v>
      </c>
      <c r="G24" s="34" t="s">
        <v>759</v>
      </c>
    </row>
    <row r="25" customFormat="false" ht="52.5" hidden="false" customHeight="true" outlineLevel="0" collapsed="false">
      <c r="A25" s="35" t="s">
        <v>760</v>
      </c>
      <c r="B25" s="36" t="s">
        <v>51</v>
      </c>
      <c r="C25" s="36" t="s">
        <v>290</v>
      </c>
      <c r="D25" s="11" t="s">
        <v>761</v>
      </c>
      <c r="E25" s="37" t="s">
        <v>762</v>
      </c>
      <c r="F25" s="11" t="s">
        <v>763</v>
      </c>
      <c r="G25" s="38" t="s">
        <v>764</v>
      </c>
    </row>
  </sheetData>
  <autoFilter ref="A3:G25"/>
  <mergeCells count="2">
    <mergeCell ref="A1:G1"/>
    <mergeCell ref="A2:G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3" topLeftCell="D4" activePane="bottomRight" state="frozen"/>
      <selection pane="topLeft" activeCell="A1" activeCellId="0" sqref="A1"/>
      <selection pane="topRight" activeCell="D1" activeCellId="0" sqref="D1"/>
      <selection pane="bottomLeft" activeCell="A4" activeCellId="0" sqref="A4"/>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8"/>
    <col collapsed="false" customWidth="true" hidden="false" outlineLevel="0" max="2" min="2" style="0" width="15"/>
    <col collapsed="false" customWidth="true" hidden="false" outlineLevel="0" max="3" min="3" style="0" width="20"/>
    <col collapsed="false" customWidth="true" hidden="false" outlineLevel="0" max="4" min="4" style="0" width="56"/>
    <col collapsed="false" customWidth="true" hidden="false" outlineLevel="0" max="5" min="5" style="0" width="78"/>
    <col collapsed="false" customWidth="true" hidden="false" outlineLevel="0" max="6" min="6" style="0" width="48"/>
  </cols>
  <sheetData>
    <row r="1" customFormat="false" ht="30" hidden="false" customHeight="true" outlineLevel="0" collapsed="false">
      <c r="A1" s="1" t="s">
        <v>765</v>
      </c>
      <c r="B1" s="1"/>
      <c r="C1" s="1"/>
      <c r="D1" s="1"/>
      <c r="E1" s="1"/>
      <c r="F1" s="1"/>
    </row>
    <row r="2" customFormat="false" ht="21.75" hidden="false" customHeight="true" outlineLevel="0" collapsed="false">
      <c r="A2" s="2" t="s">
        <v>766</v>
      </c>
      <c r="B2" s="2"/>
      <c r="C2" s="2"/>
      <c r="D2" s="2"/>
      <c r="E2" s="2"/>
      <c r="F2" s="2"/>
    </row>
    <row r="3" customFormat="false" ht="30" hidden="false" customHeight="true" outlineLevel="0" collapsed="false">
      <c r="A3" s="7" t="s">
        <v>282</v>
      </c>
      <c r="B3" s="7" t="s">
        <v>44</v>
      </c>
      <c r="C3" s="7" t="s">
        <v>767</v>
      </c>
      <c r="D3" s="7" t="s">
        <v>285</v>
      </c>
      <c r="E3" s="7" t="s">
        <v>286</v>
      </c>
      <c r="F3" s="7" t="s">
        <v>287</v>
      </c>
    </row>
    <row r="4" customFormat="false" ht="40.5" hidden="false" customHeight="true" outlineLevel="0" collapsed="false">
      <c r="A4" s="31" t="s">
        <v>768</v>
      </c>
      <c r="B4" s="32" t="s">
        <v>655</v>
      </c>
      <c r="C4" s="9" t="s">
        <v>769</v>
      </c>
      <c r="D4" s="33" t="s">
        <v>770</v>
      </c>
      <c r="E4" s="9" t="s">
        <v>771</v>
      </c>
      <c r="F4" s="34" t="s">
        <v>772</v>
      </c>
    </row>
    <row r="5" customFormat="false" ht="40.5" hidden="false" customHeight="true" outlineLevel="0" collapsed="false">
      <c r="A5" s="35" t="s">
        <v>773</v>
      </c>
      <c r="B5" s="36" t="s">
        <v>655</v>
      </c>
      <c r="C5" s="11" t="s">
        <v>769</v>
      </c>
      <c r="D5" s="37" t="s">
        <v>774</v>
      </c>
      <c r="E5" s="11" t="s">
        <v>775</v>
      </c>
      <c r="F5" s="38" t="s">
        <v>776</v>
      </c>
    </row>
    <row r="6" customFormat="false" ht="40.5" hidden="false" customHeight="true" outlineLevel="0" collapsed="false">
      <c r="A6" s="31" t="s">
        <v>777</v>
      </c>
      <c r="B6" s="32" t="s">
        <v>655</v>
      </c>
      <c r="C6" s="9" t="s">
        <v>769</v>
      </c>
      <c r="D6" s="33" t="s">
        <v>778</v>
      </c>
      <c r="E6" s="9" t="s">
        <v>779</v>
      </c>
      <c r="F6" s="34" t="s">
        <v>780</v>
      </c>
    </row>
    <row r="7" customFormat="false" ht="40.5" hidden="false" customHeight="true" outlineLevel="0" collapsed="false">
      <c r="A7" s="35" t="s">
        <v>781</v>
      </c>
      <c r="B7" s="36" t="s">
        <v>661</v>
      </c>
      <c r="C7" s="11" t="s">
        <v>782</v>
      </c>
      <c r="D7" s="37" t="s">
        <v>783</v>
      </c>
      <c r="E7" s="11" t="s">
        <v>784</v>
      </c>
      <c r="F7" s="38" t="s">
        <v>785</v>
      </c>
    </row>
    <row r="8" customFormat="false" ht="40.5" hidden="false" customHeight="true" outlineLevel="0" collapsed="false">
      <c r="A8" s="31" t="s">
        <v>786</v>
      </c>
      <c r="B8" s="32" t="s">
        <v>655</v>
      </c>
      <c r="C8" s="9" t="s">
        <v>782</v>
      </c>
      <c r="D8" s="33" t="s">
        <v>787</v>
      </c>
      <c r="E8" s="9" t="s">
        <v>788</v>
      </c>
      <c r="F8" s="34" t="s">
        <v>789</v>
      </c>
    </row>
    <row r="9" customFormat="false" ht="52.5" hidden="false" customHeight="true" outlineLevel="0" collapsed="false">
      <c r="A9" s="35" t="s">
        <v>790</v>
      </c>
      <c r="B9" s="36" t="s">
        <v>667</v>
      </c>
      <c r="C9" s="11" t="s">
        <v>782</v>
      </c>
      <c r="D9" s="37" t="s">
        <v>791</v>
      </c>
      <c r="E9" s="11" t="s">
        <v>792</v>
      </c>
      <c r="F9" s="38" t="s">
        <v>793</v>
      </c>
    </row>
    <row r="10" customFormat="false" ht="40.5" hidden="false" customHeight="true" outlineLevel="0" collapsed="false">
      <c r="A10" s="31" t="s">
        <v>794</v>
      </c>
      <c r="B10" s="32" t="s">
        <v>655</v>
      </c>
      <c r="C10" s="9" t="s">
        <v>795</v>
      </c>
      <c r="D10" s="33" t="s">
        <v>796</v>
      </c>
      <c r="E10" s="9" t="s">
        <v>797</v>
      </c>
      <c r="F10" s="34" t="s">
        <v>798</v>
      </c>
    </row>
    <row r="11" customFormat="false" ht="40.5" hidden="false" customHeight="true" outlineLevel="0" collapsed="false">
      <c r="A11" s="35" t="s">
        <v>799</v>
      </c>
      <c r="B11" s="36" t="s">
        <v>655</v>
      </c>
      <c r="C11" s="11" t="s">
        <v>234</v>
      </c>
      <c r="D11" s="37" t="s">
        <v>800</v>
      </c>
      <c r="E11" s="11" t="s">
        <v>801</v>
      </c>
      <c r="F11" s="38" t="s">
        <v>802</v>
      </c>
    </row>
    <row r="12" customFormat="false" ht="27.75" hidden="false" customHeight="true" outlineLevel="0" collapsed="false">
      <c r="A12" s="31" t="s">
        <v>803</v>
      </c>
      <c r="B12" s="32" t="s">
        <v>661</v>
      </c>
      <c r="C12" s="9" t="s">
        <v>804</v>
      </c>
      <c r="D12" s="33" t="s">
        <v>805</v>
      </c>
      <c r="E12" s="9" t="s">
        <v>806</v>
      </c>
      <c r="F12" s="34" t="s">
        <v>807</v>
      </c>
    </row>
    <row r="13" customFormat="false" ht="40.5" hidden="false" customHeight="true" outlineLevel="0" collapsed="false">
      <c r="A13" s="35" t="s">
        <v>808</v>
      </c>
      <c r="B13" s="36" t="s">
        <v>655</v>
      </c>
      <c r="C13" s="11" t="s">
        <v>809</v>
      </c>
      <c r="D13" s="37" t="s">
        <v>810</v>
      </c>
      <c r="E13" s="11" t="s">
        <v>811</v>
      </c>
      <c r="F13" s="38" t="s">
        <v>812</v>
      </c>
    </row>
    <row r="14" customFormat="false" ht="40.5" hidden="false" customHeight="true" outlineLevel="0" collapsed="false">
      <c r="A14" s="31" t="s">
        <v>813</v>
      </c>
      <c r="B14" s="32" t="s">
        <v>655</v>
      </c>
      <c r="C14" s="9" t="s">
        <v>814</v>
      </c>
      <c r="D14" s="33" t="s">
        <v>815</v>
      </c>
      <c r="E14" s="9" t="s">
        <v>816</v>
      </c>
      <c r="F14" s="34" t="s">
        <v>817</v>
      </c>
    </row>
    <row r="15" customFormat="false" ht="40.5" hidden="false" customHeight="true" outlineLevel="0" collapsed="false">
      <c r="A15" s="35" t="s">
        <v>818</v>
      </c>
      <c r="B15" s="36" t="s">
        <v>655</v>
      </c>
      <c r="C15" s="11" t="s">
        <v>819</v>
      </c>
      <c r="D15" s="37" t="s">
        <v>820</v>
      </c>
      <c r="E15" s="11" t="s">
        <v>821</v>
      </c>
      <c r="F15" s="38" t="s">
        <v>822</v>
      </c>
    </row>
    <row r="16" customFormat="false" ht="52.5" hidden="false" customHeight="true" outlineLevel="0" collapsed="false">
      <c r="A16" s="31" t="s">
        <v>823</v>
      </c>
      <c r="B16" s="32" t="s">
        <v>661</v>
      </c>
      <c r="C16" s="9" t="s">
        <v>824</v>
      </c>
      <c r="D16" s="33" t="s">
        <v>825</v>
      </c>
      <c r="E16" s="9" t="s">
        <v>826</v>
      </c>
      <c r="F16" s="34" t="s">
        <v>827</v>
      </c>
    </row>
    <row r="17" customFormat="false" ht="40.5" hidden="false" customHeight="true" outlineLevel="0" collapsed="false">
      <c r="A17" s="35" t="s">
        <v>828</v>
      </c>
      <c r="B17" s="36" t="s">
        <v>667</v>
      </c>
      <c r="C17" s="11" t="s">
        <v>824</v>
      </c>
      <c r="D17" s="37" t="s">
        <v>829</v>
      </c>
      <c r="E17" s="11" t="s">
        <v>830</v>
      </c>
      <c r="F17" s="38" t="s">
        <v>831</v>
      </c>
    </row>
    <row r="18" customFormat="false" ht="40.5" hidden="false" customHeight="true" outlineLevel="0" collapsed="false">
      <c r="A18" s="31" t="s">
        <v>832</v>
      </c>
      <c r="B18" s="32" t="s">
        <v>655</v>
      </c>
      <c r="C18" s="9" t="s">
        <v>833</v>
      </c>
      <c r="D18" s="33" t="s">
        <v>834</v>
      </c>
      <c r="E18" s="9" t="s">
        <v>835</v>
      </c>
      <c r="F18" s="34" t="s">
        <v>836</v>
      </c>
    </row>
    <row r="19" customFormat="false" ht="52.5" hidden="false" customHeight="true" outlineLevel="0" collapsed="false">
      <c r="A19" s="35" t="s">
        <v>837</v>
      </c>
      <c r="B19" s="36" t="s">
        <v>655</v>
      </c>
      <c r="C19" s="11" t="s">
        <v>833</v>
      </c>
      <c r="D19" s="37" t="s">
        <v>838</v>
      </c>
      <c r="E19" s="11" t="s">
        <v>839</v>
      </c>
      <c r="F19" s="38" t="s">
        <v>840</v>
      </c>
    </row>
    <row r="20" customFormat="false" ht="64.5" hidden="false" customHeight="true" outlineLevel="0" collapsed="false">
      <c r="A20" s="31" t="s">
        <v>841</v>
      </c>
      <c r="B20" s="32" t="s">
        <v>667</v>
      </c>
      <c r="C20" s="9" t="s">
        <v>842</v>
      </c>
      <c r="D20" s="33" t="s">
        <v>843</v>
      </c>
      <c r="E20" s="9" t="s">
        <v>844</v>
      </c>
      <c r="F20" s="34" t="s">
        <v>845</v>
      </c>
    </row>
    <row r="21" customFormat="false" ht="40.5" hidden="false" customHeight="true" outlineLevel="0" collapsed="false">
      <c r="A21" s="35" t="s">
        <v>846</v>
      </c>
      <c r="B21" s="36" t="s">
        <v>436</v>
      </c>
      <c r="C21" s="11" t="s">
        <v>842</v>
      </c>
      <c r="D21" s="37" t="s">
        <v>847</v>
      </c>
      <c r="E21" s="11" t="s">
        <v>848</v>
      </c>
      <c r="F21" s="38" t="s">
        <v>849</v>
      </c>
    </row>
    <row r="22" customFormat="false" ht="40.5" hidden="false" customHeight="true" outlineLevel="0" collapsed="false">
      <c r="A22" s="31" t="s">
        <v>850</v>
      </c>
      <c r="B22" s="32" t="s">
        <v>436</v>
      </c>
      <c r="C22" s="9" t="s">
        <v>851</v>
      </c>
      <c r="D22" s="33" t="s">
        <v>852</v>
      </c>
      <c r="E22" s="9" t="s">
        <v>853</v>
      </c>
      <c r="F22" s="34" t="s">
        <v>854</v>
      </c>
    </row>
    <row r="23" customFormat="false" ht="27.75" hidden="false" customHeight="true" outlineLevel="0" collapsed="false">
      <c r="A23" s="35" t="s">
        <v>855</v>
      </c>
      <c r="B23" s="36" t="s">
        <v>655</v>
      </c>
      <c r="C23" s="11" t="s">
        <v>856</v>
      </c>
      <c r="D23" s="37" t="s">
        <v>857</v>
      </c>
      <c r="E23" s="11" t="s">
        <v>858</v>
      </c>
      <c r="F23" s="38" t="s">
        <v>859</v>
      </c>
    </row>
    <row r="24" customFormat="false" ht="40.5" hidden="false" customHeight="true" outlineLevel="0" collapsed="false">
      <c r="A24" s="31" t="s">
        <v>860</v>
      </c>
      <c r="B24" s="32" t="s">
        <v>655</v>
      </c>
      <c r="C24" s="9" t="s">
        <v>861</v>
      </c>
      <c r="D24" s="33" t="s">
        <v>862</v>
      </c>
      <c r="E24" s="9" t="s">
        <v>863</v>
      </c>
      <c r="F24" s="34" t="s">
        <v>864</v>
      </c>
    </row>
    <row r="25" customFormat="false" ht="40.5" hidden="false" customHeight="true" outlineLevel="0" collapsed="false">
      <c r="A25" s="35" t="s">
        <v>865</v>
      </c>
      <c r="B25" s="36" t="s">
        <v>51</v>
      </c>
      <c r="C25" s="11" t="s">
        <v>866</v>
      </c>
      <c r="D25" s="37" t="s">
        <v>867</v>
      </c>
      <c r="E25" s="11" t="s">
        <v>868</v>
      </c>
      <c r="F25" s="38" t="s">
        <v>869</v>
      </c>
    </row>
    <row r="26" customFormat="false" ht="52.5" hidden="false" customHeight="true" outlineLevel="0" collapsed="false">
      <c r="A26" s="31" t="s">
        <v>870</v>
      </c>
      <c r="B26" s="32" t="s">
        <v>51</v>
      </c>
      <c r="C26" s="9" t="s">
        <v>866</v>
      </c>
      <c r="D26" s="33" t="s">
        <v>871</v>
      </c>
      <c r="E26" s="9" t="s">
        <v>872</v>
      </c>
      <c r="F26" s="34" t="s">
        <v>873</v>
      </c>
    </row>
    <row r="27" customFormat="false" ht="40.5" hidden="false" customHeight="true" outlineLevel="0" collapsed="false">
      <c r="A27" s="35" t="s">
        <v>874</v>
      </c>
      <c r="B27" s="36" t="s">
        <v>655</v>
      </c>
      <c r="C27" s="11" t="s">
        <v>875</v>
      </c>
      <c r="D27" s="37" t="s">
        <v>876</v>
      </c>
      <c r="E27" s="11" t="s">
        <v>877</v>
      </c>
      <c r="F27" s="38" t="s">
        <v>878</v>
      </c>
    </row>
    <row r="28" customFormat="false" ht="40.5" hidden="false" customHeight="true" outlineLevel="0" collapsed="false">
      <c r="A28" s="31" t="s">
        <v>879</v>
      </c>
      <c r="B28" s="32" t="s">
        <v>661</v>
      </c>
      <c r="C28" s="9" t="s">
        <v>880</v>
      </c>
      <c r="D28" s="33" t="s">
        <v>881</v>
      </c>
      <c r="E28" s="9" t="s">
        <v>882</v>
      </c>
      <c r="F28" s="34" t="s">
        <v>883</v>
      </c>
    </row>
    <row r="29" customFormat="false" ht="40.5" hidden="false" customHeight="true" outlineLevel="0" collapsed="false">
      <c r="A29" s="35" t="s">
        <v>884</v>
      </c>
      <c r="B29" s="36" t="s">
        <v>655</v>
      </c>
      <c r="C29" s="11" t="s">
        <v>880</v>
      </c>
      <c r="D29" s="37" t="s">
        <v>885</v>
      </c>
      <c r="E29" s="11" t="s">
        <v>886</v>
      </c>
      <c r="F29" s="38" t="s">
        <v>887</v>
      </c>
    </row>
    <row r="30" customFormat="false" ht="40.5" hidden="false" customHeight="true" outlineLevel="0" collapsed="false">
      <c r="A30" s="31" t="s">
        <v>888</v>
      </c>
      <c r="B30" s="32" t="s">
        <v>667</v>
      </c>
      <c r="C30" s="9" t="s">
        <v>731</v>
      </c>
      <c r="D30" s="33" t="s">
        <v>889</v>
      </c>
      <c r="E30" s="9" t="s">
        <v>890</v>
      </c>
      <c r="F30" s="34" t="s">
        <v>891</v>
      </c>
    </row>
    <row r="31" customFormat="false" ht="40.5" hidden="false" customHeight="true" outlineLevel="0" collapsed="false">
      <c r="A31" s="35" t="s">
        <v>892</v>
      </c>
      <c r="B31" s="36" t="s">
        <v>655</v>
      </c>
      <c r="C31" s="11" t="s">
        <v>893</v>
      </c>
      <c r="D31" s="37" t="s">
        <v>894</v>
      </c>
      <c r="E31" s="11" t="s">
        <v>895</v>
      </c>
      <c r="F31" s="38" t="s">
        <v>896</v>
      </c>
    </row>
    <row r="32" customFormat="false" ht="52.5" hidden="false" customHeight="true" outlineLevel="0" collapsed="false">
      <c r="A32" s="31" t="s">
        <v>897</v>
      </c>
      <c r="B32" s="32" t="s">
        <v>655</v>
      </c>
      <c r="C32" s="9" t="s">
        <v>898</v>
      </c>
      <c r="D32" s="33" t="s">
        <v>899</v>
      </c>
      <c r="E32" s="9" t="s">
        <v>900</v>
      </c>
      <c r="F32" s="34" t="s">
        <v>901</v>
      </c>
    </row>
  </sheetData>
  <autoFilter ref="A3:F32"/>
  <mergeCells count="2">
    <mergeCell ref="A1:F1"/>
    <mergeCell ref="A2:F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3" topLeftCell="D4" activePane="bottomRight" state="frozen"/>
      <selection pane="topLeft" activeCell="A1" activeCellId="0" sqref="A1"/>
      <selection pane="topRight" activeCell="D1" activeCellId="0" sqref="D1"/>
      <selection pane="bottomLeft" activeCell="A4" activeCellId="0" sqref="A4"/>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13"/>
    <col collapsed="false" customWidth="true" hidden="false" outlineLevel="0" max="2" min="2" style="0" width="11"/>
    <col collapsed="false" customWidth="true" hidden="false" outlineLevel="0" max="3" min="3" style="0" width="25"/>
    <col collapsed="false" customWidth="true" hidden="false" outlineLevel="0" max="4" min="4" style="0" width="66"/>
    <col collapsed="false" customWidth="true" hidden="false" outlineLevel="0" max="5" min="5" style="0" width="44"/>
    <col collapsed="false" customWidth="true" hidden="false" outlineLevel="0" max="6" min="6" style="0" width="66"/>
    <col collapsed="false" customWidth="true" hidden="false" outlineLevel="0" max="7" min="7" style="0" width="50"/>
  </cols>
  <sheetData>
    <row r="1" customFormat="false" ht="30" hidden="false" customHeight="true" outlineLevel="0" collapsed="false">
      <c r="A1" s="1" t="s">
        <v>902</v>
      </c>
      <c r="B1" s="1"/>
      <c r="C1" s="1"/>
      <c r="D1" s="1"/>
      <c r="E1" s="1"/>
      <c r="F1" s="1"/>
      <c r="G1" s="1"/>
    </row>
    <row r="2" customFormat="false" ht="21.75" hidden="false" customHeight="true" outlineLevel="0" collapsed="false">
      <c r="A2" s="2" t="s">
        <v>903</v>
      </c>
      <c r="B2" s="2"/>
      <c r="C2" s="2"/>
      <c r="D2" s="2"/>
      <c r="E2" s="2"/>
      <c r="F2" s="2"/>
      <c r="G2" s="2"/>
    </row>
    <row r="3" customFormat="false" ht="30" hidden="false" customHeight="true" outlineLevel="0" collapsed="false">
      <c r="A3" s="7" t="s">
        <v>44</v>
      </c>
      <c r="B3" s="7" t="s">
        <v>283</v>
      </c>
      <c r="C3" s="7" t="s">
        <v>904</v>
      </c>
      <c r="D3" s="7" t="s">
        <v>905</v>
      </c>
      <c r="E3" s="7" t="s">
        <v>906</v>
      </c>
      <c r="F3" s="7" t="s">
        <v>907</v>
      </c>
      <c r="G3" s="7" t="s">
        <v>908</v>
      </c>
    </row>
    <row r="4" customFormat="false" ht="89.25" hidden="false" customHeight="true" outlineLevel="0" collapsed="false">
      <c r="A4" s="8" t="s">
        <v>51</v>
      </c>
      <c r="B4" s="9" t="s">
        <v>290</v>
      </c>
      <c r="C4" s="9" t="s">
        <v>909</v>
      </c>
      <c r="D4" s="9" t="s">
        <v>910</v>
      </c>
      <c r="E4" s="9" t="s">
        <v>911</v>
      </c>
      <c r="F4" s="39" t="s">
        <v>912</v>
      </c>
      <c r="G4" s="40" t="s">
        <v>913</v>
      </c>
    </row>
    <row r="5" customFormat="false" ht="113.25" hidden="false" customHeight="true" outlineLevel="0" collapsed="false">
      <c r="A5" s="10" t="s">
        <v>70</v>
      </c>
      <c r="B5" s="11" t="s">
        <v>313</v>
      </c>
      <c r="C5" s="11" t="s">
        <v>914</v>
      </c>
      <c r="D5" s="11" t="s">
        <v>915</v>
      </c>
      <c r="E5" s="11" t="s">
        <v>916</v>
      </c>
      <c r="F5" s="41" t="s">
        <v>917</v>
      </c>
      <c r="G5" s="42" t="s">
        <v>918</v>
      </c>
    </row>
    <row r="6" customFormat="false" ht="126" hidden="false" customHeight="true" outlineLevel="0" collapsed="false">
      <c r="A6" s="8" t="s">
        <v>70</v>
      </c>
      <c r="B6" s="9" t="s">
        <v>355</v>
      </c>
      <c r="C6" s="9" t="s">
        <v>914</v>
      </c>
      <c r="D6" s="9" t="s">
        <v>919</v>
      </c>
      <c r="E6" s="9" t="s">
        <v>920</v>
      </c>
      <c r="F6" s="39" t="s">
        <v>921</v>
      </c>
      <c r="G6" s="40" t="s">
        <v>922</v>
      </c>
    </row>
    <row r="7" customFormat="false" ht="101.25" hidden="false" customHeight="true" outlineLevel="0" collapsed="false">
      <c r="A7" s="10" t="s">
        <v>75</v>
      </c>
      <c r="B7" s="11" t="s">
        <v>313</v>
      </c>
      <c r="C7" s="11" t="s">
        <v>923</v>
      </c>
      <c r="D7" s="11" t="s">
        <v>924</v>
      </c>
      <c r="E7" s="11" t="s">
        <v>925</v>
      </c>
      <c r="F7" s="41" t="s">
        <v>926</v>
      </c>
      <c r="G7" s="42" t="s">
        <v>927</v>
      </c>
    </row>
    <row r="8" customFormat="false" ht="101.25" hidden="false" customHeight="true" outlineLevel="0" collapsed="false">
      <c r="A8" s="8" t="s">
        <v>75</v>
      </c>
      <c r="B8" s="9" t="s">
        <v>355</v>
      </c>
      <c r="C8" s="9" t="s">
        <v>923</v>
      </c>
      <c r="D8" s="9" t="s">
        <v>928</v>
      </c>
      <c r="E8" s="9" t="s">
        <v>929</v>
      </c>
      <c r="F8" s="39" t="s">
        <v>930</v>
      </c>
      <c r="G8" s="40" t="s">
        <v>931</v>
      </c>
    </row>
    <row r="9" customFormat="false" ht="162" hidden="false" customHeight="true" outlineLevel="0" collapsed="false">
      <c r="A9" s="10" t="s">
        <v>110</v>
      </c>
      <c r="B9" s="11" t="s">
        <v>290</v>
      </c>
      <c r="C9" s="11" t="s">
        <v>932</v>
      </c>
      <c r="D9" s="11" t="s">
        <v>933</v>
      </c>
      <c r="E9" s="11" t="s">
        <v>934</v>
      </c>
      <c r="F9" s="41" t="s">
        <v>935</v>
      </c>
      <c r="G9" s="42" t="s">
        <v>936</v>
      </c>
    </row>
    <row r="11" customFormat="false" ht="15" hidden="false" customHeight="false" outlineLevel="0" collapsed="false">
      <c r="A11" s="3" t="s">
        <v>937</v>
      </c>
      <c r="B11" s="3"/>
      <c r="C11" s="3"/>
      <c r="D11" s="3"/>
      <c r="E11" s="3"/>
      <c r="F11" s="3"/>
      <c r="G11" s="3"/>
    </row>
    <row r="12" customFormat="false" ht="15.75" hidden="false" customHeight="true" outlineLevel="0" collapsed="false">
      <c r="A12" s="43" t="s">
        <v>938</v>
      </c>
      <c r="B12" s="43"/>
      <c r="C12" s="43"/>
      <c r="D12" s="43"/>
      <c r="E12" s="43"/>
      <c r="F12" s="43"/>
      <c r="G12" s="43"/>
    </row>
    <row r="13" customFormat="false" ht="15.75" hidden="false" customHeight="true" outlineLevel="0" collapsed="false">
      <c r="A13" s="43" t="s">
        <v>939</v>
      </c>
      <c r="B13" s="43"/>
      <c r="C13" s="43"/>
      <c r="D13" s="43"/>
      <c r="E13" s="43"/>
      <c r="F13" s="43"/>
      <c r="G13" s="43"/>
    </row>
    <row r="14" customFormat="false" ht="15.75" hidden="false" customHeight="true" outlineLevel="0" collapsed="false">
      <c r="A14" s="43" t="s">
        <v>940</v>
      </c>
      <c r="B14" s="43"/>
      <c r="C14" s="43"/>
      <c r="D14" s="43"/>
      <c r="E14" s="43"/>
      <c r="F14" s="43"/>
      <c r="G14" s="43"/>
    </row>
    <row r="15" customFormat="false" ht="15.75" hidden="false" customHeight="true" outlineLevel="0" collapsed="false">
      <c r="A15" s="43" t="s">
        <v>941</v>
      </c>
      <c r="B15" s="43"/>
      <c r="C15" s="43"/>
      <c r="D15" s="43"/>
      <c r="E15" s="43"/>
      <c r="F15" s="43"/>
      <c r="G15" s="43"/>
    </row>
    <row r="16" customFormat="false" ht="15.75" hidden="false" customHeight="true" outlineLevel="0" collapsed="false">
      <c r="A16" s="43" t="s">
        <v>942</v>
      </c>
      <c r="B16" s="43"/>
      <c r="C16" s="43"/>
      <c r="D16" s="43"/>
      <c r="E16" s="43"/>
      <c r="F16" s="43"/>
      <c r="G16" s="43"/>
    </row>
    <row r="17" customFormat="false" ht="15.75" hidden="false" customHeight="true" outlineLevel="0" collapsed="false">
      <c r="A17" s="43" t="s">
        <v>943</v>
      </c>
      <c r="B17" s="43"/>
      <c r="C17" s="43"/>
      <c r="D17" s="43"/>
      <c r="E17" s="43"/>
      <c r="F17" s="43"/>
      <c r="G17" s="43"/>
    </row>
  </sheetData>
  <mergeCells count="9">
    <mergeCell ref="A1:G1"/>
    <mergeCell ref="A2:G2"/>
    <mergeCell ref="A11:G11"/>
    <mergeCell ref="A12:G12"/>
    <mergeCell ref="A13:G13"/>
    <mergeCell ref="A14:G14"/>
    <mergeCell ref="A15:G15"/>
    <mergeCell ref="A16:G16"/>
    <mergeCell ref="A17:G17"/>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0"/>
    <col collapsed="false" customWidth="true" hidden="false" outlineLevel="0" max="2" min="2" style="0" width="84"/>
    <col collapsed="false" customWidth="true" hidden="false" outlineLevel="0" max="3" min="3" style="0" width="30"/>
    <col collapsed="false" customWidth="true" hidden="false" outlineLevel="0" max="4" min="4" style="0" width="84"/>
  </cols>
  <sheetData>
    <row r="1" customFormat="false" ht="30" hidden="false" customHeight="true" outlineLevel="0" collapsed="false">
      <c r="A1" s="1" t="s">
        <v>944</v>
      </c>
      <c r="B1" s="1"/>
      <c r="C1" s="1"/>
      <c r="D1" s="1"/>
    </row>
    <row r="2" customFormat="false" ht="21.75" hidden="false" customHeight="true" outlineLevel="0" collapsed="false">
      <c r="A2" s="2" t="s">
        <v>945</v>
      </c>
      <c r="B2" s="2"/>
      <c r="C2" s="2"/>
      <c r="D2" s="2"/>
    </row>
    <row r="3" customFormat="false" ht="21.75" hidden="false" customHeight="true" outlineLevel="0" collapsed="false">
      <c r="A3" s="44" t="s">
        <v>946</v>
      </c>
      <c r="B3" s="44"/>
      <c r="C3" s="45" t="s">
        <v>947</v>
      </c>
      <c r="D3" s="45"/>
    </row>
    <row r="4" customFormat="false" ht="27.75" hidden="false" customHeight="true" outlineLevel="0" collapsed="false">
      <c r="A4" s="46" t="s">
        <v>948</v>
      </c>
      <c r="B4" s="47" t="s">
        <v>949</v>
      </c>
      <c r="C4" s="48" t="s">
        <v>950</v>
      </c>
      <c r="D4" s="49" t="s">
        <v>951</v>
      </c>
    </row>
    <row r="5" customFormat="false" ht="27.75" hidden="false" customHeight="true" outlineLevel="0" collapsed="false">
      <c r="A5" s="46" t="s">
        <v>952</v>
      </c>
      <c r="B5" s="47" t="s">
        <v>953</v>
      </c>
      <c r="C5" s="48" t="s">
        <v>954</v>
      </c>
      <c r="D5" s="49" t="s">
        <v>955</v>
      </c>
    </row>
    <row r="6" customFormat="false" ht="27.75" hidden="false" customHeight="true" outlineLevel="0" collapsed="false">
      <c r="A6" s="46" t="s">
        <v>956</v>
      </c>
      <c r="B6" s="47" t="s">
        <v>957</v>
      </c>
      <c r="C6" s="48" t="s">
        <v>958</v>
      </c>
      <c r="D6" s="49" t="s">
        <v>959</v>
      </c>
    </row>
    <row r="7" customFormat="false" ht="27.75" hidden="false" customHeight="true" outlineLevel="0" collapsed="false">
      <c r="A7" s="46" t="s">
        <v>960</v>
      </c>
      <c r="B7" s="47" t="s">
        <v>961</v>
      </c>
      <c r="C7" s="48" t="s">
        <v>962</v>
      </c>
      <c r="D7" s="49" t="s">
        <v>963</v>
      </c>
    </row>
    <row r="8" customFormat="false" ht="27.75" hidden="false" customHeight="true" outlineLevel="0" collapsed="false">
      <c r="A8" s="46" t="s">
        <v>964</v>
      </c>
      <c r="B8" s="47" t="s">
        <v>965</v>
      </c>
      <c r="C8" s="48" t="s">
        <v>966</v>
      </c>
      <c r="D8" s="49" t="s">
        <v>967</v>
      </c>
    </row>
    <row r="9" customFormat="false" ht="27.75" hidden="false" customHeight="true" outlineLevel="0" collapsed="false">
      <c r="A9" s="46" t="s">
        <v>968</v>
      </c>
      <c r="B9" s="47" t="s">
        <v>969</v>
      </c>
      <c r="C9" s="48" t="s">
        <v>970</v>
      </c>
      <c r="D9" s="49" t="s">
        <v>971</v>
      </c>
    </row>
    <row r="10" customFormat="false" ht="27.75" hidden="false" customHeight="true" outlineLevel="0" collapsed="false">
      <c r="A10" s="46" t="s">
        <v>972</v>
      </c>
      <c r="B10" s="47" t="s">
        <v>973</v>
      </c>
      <c r="C10" s="48" t="s">
        <v>974</v>
      </c>
      <c r="D10" s="49" t="s">
        <v>975</v>
      </c>
    </row>
    <row r="11" customFormat="false" ht="27.75" hidden="false" customHeight="true" outlineLevel="0" collapsed="false">
      <c r="A11" s="46" t="s">
        <v>976</v>
      </c>
      <c r="B11" s="47" t="s">
        <v>977</v>
      </c>
      <c r="C11" s="48" t="s">
        <v>978</v>
      </c>
      <c r="D11" s="49" t="s">
        <v>979</v>
      </c>
    </row>
    <row r="12" customFormat="false" ht="27.75" hidden="false" customHeight="true" outlineLevel="0" collapsed="false">
      <c r="A12" s="46" t="s">
        <v>980</v>
      </c>
      <c r="B12" s="47" t="s">
        <v>981</v>
      </c>
      <c r="C12" s="48" t="s">
        <v>982</v>
      </c>
      <c r="D12" s="49" t="s">
        <v>983</v>
      </c>
    </row>
    <row r="13" customFormat="false" ht="15.75" hidden="false" customHeight="true" outlineLevel="0" collapsed="false">
      <c r="A13" s="46" t="s">
        <v>984</v>
      </c>
      <c r="B13" s="47" t="s">
        <v>985</v>
      </c>
      <c r="C13" s="48" t="s">
        <v>986</v>
      </c>
      <c r="D13" s="49" t="s">
        <v>987</v>
      </c>
    </row>
    <row r="14" customFormat="false" ht="15.75" hidden="false" customHeight="true" outlineLevel="0" collapsed="false">
      <c r="A14" s="50"/>
      <c r="B14" s="50"/>
      <c r="C14" s="48" t="s">
        <v>988</v>
      </c>
      <c r="D14" s="49" t="s">
        <v>989</v>
      </c>
    </row>
    <row r="15" customFormat="false" ht="27.75" hidden="false" customHeight="true" outlineLevel="0" collapsed="false">
      <c r="A15" s="50"/>
      <c r="B15" s="50"/>
      <c r="C15" s="48" t="s">
        <v>990</v>
      </c>
      <c r="D15" s="49" t="s">
        <v>991</v>
      </c>
    </row>
    <row r="17" customFormat="false" ht="15" hidden="false" customHeight="false" outlineLevel="0" collapsed="false">
      <c r="A17" s="3" t="s">
        <v>992</v>
      </c>
      <c r="B17" s="3"/>
      <c r="C17" s="3"/>
      <c r="D17" s="3"/>
    </row>
    <row r="18" customFormat="false" ht="27.75" hidden="false" customHeight="true" outlineLevel="0" collapsed="false">
      <c r="A18" s="43" t="s">
        <v>993</v>
      </c>
      <c r="B18" s="43"/>
      <c r="C18" s="43"/>
      <c r="D18" s="43"/>
    </row>
    <row r="19" customFormat="false" ht="15.75" hidden="false" customHeight="true" outlineLevel="0" collapsed="false">
      <c r="A19" s="43" t="s">
        <v>994</v>
      </c>
      <c r="B19" s="43"/>
      <c r="C19" s="43"/>
      <c r="D19" s="43"/>
    </row>
    <row r="20" customFormat="false" ht="15.75" hidden="false" customHeight="true" outlineLevel="0" collapsed="false">
      <c r="A20" s="43" t="s">
        <v>995</v>
      </c>
      <c r="B20" s="43"/>
      <c r="C20" s="43"/>
      <c r="D20" s="43"/>
    </row>
    <row r="21" customFormat="false" ht="15.75" hidden="false" customHeight="true" outlineLevel="0" collapsed="false">
      <c r="A21" s="43" t="s">
        <v>996</v>
      </c>
      <c r="B21" s="43"/>
      <c r="C21" s="43"/>
      <c r="D21" s="43"/>
    </row>
    <row r="22" customFormat="false" ht="15.75" hidden="false" customHeight="true" outlineLevel="0" collapsed="false">
      <c r="A22" s="43" t="s">
        <v>997</v>
      </c>
      <c r="B22" s="43"/>
      <c r="C22" s="43"/>
      <c r="D22" s="43"/>
    </row>
  </sheetData>
  <mergeCells count="10">
    <mergeCell ref="A1:D1"/>
    <mergeCell ref="A2:D2"/>
    <mergeCell ref="A3:B3"/>
    <mergeCell ref="C3:D3"/>
    <mergeCell ref="A17:D17"/>
    <mergeCell ref="A18:D18"/>
    <mergeCell ref="A19:D19"/>
    <mergeCell ref="A20:D20"/>
    <mergeCell ref="A21:D21"/>
    <mergeCell ref="A22:D2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C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
    <col collapsed="false" customWidth="true" hidden="false" outlineLevel="0" max="2" min="2" style="0" width="44"/>
    <col collapsed="false" customWidth="true" hidden="false" outlineLevel="0" max="3" min="3" style="0" width="122"/>
  </cols>
  <sheetData>
    <row r="1" customFormat="false" ht="30" hidden="false" customHeight="true" outlineLevel="0" collapsed="false">
      <c r="A1" s="1" t="s">
        <v>998</v>
      </c>
      <c r="B1" s="1"/>
      <c r="C1" s="1"/>
    </row>
    <row r="2" customFormat="false" ht="21.75" hidden="false" customHeight="true" outlineLevel="0" collapsed="false">
      <c r="A2" s="2" t="s">
        <v>999</v>
      </c>
      <c r="B2" s="2"/>
      <c r="C2" s="2"/>
    </row>
    <row r="3" customFormat="false" ht="30" hidden="false" customHeight="true" outlineLevel="0" collapsed="false">
      <c r="A3" s="7" t="s">
        <v>1000</v>
      </c>
      <c r="B3" s="7" t="s">
        <v>1001</v>
      </c>
      <c r="C3" s="7" t="s">
        <v>1002</v>
      </c>
    </row>
    <row r="4" customFormat="false" ht="27.75" hidden="false" customHeight="true" outlineLevel="0" collapsed="false">
      <c r="A4" s="32" t="s">
        <v>1003</v>
      </c>
      <c r="B4" s="8" t="s">
        <v>1004</v>
      </c>
      <c r="C4" s="9" t="s">
        <v>1005</v>
      </c>
    </row>
    <row r="5" customFormat="false" ht="27.75" hidden="false" customHeight="true" outlineLevel="0" collapsed="false">
      <c r="A5" s="36" t="s">
        <v>1006</v>
      </c>
      <c r="B5" s="10" t="s">
        <v>1007</v>
      </c>
      <c r="C5" s="11" t="s">
        <v>1008</v>
      </c>
    </row>
    <row r="6" customFormat="false" ht="27.75" hidden="false" customHeight="true" outlineLevel="0" collapsed="false">
      <c r="A6" s="32" t="s">
        <v>1009</v>
      </c>
      <c r="B6" s="8" t="s">
        <v>1010</v>
      </c>
      <c r="C6" s="9" t="s">
        <v>1011</v>
      </c>
    </row>
    <row r="7" customFormat="false" ht="27.75" hidden="false" customHeight="true" outlineLevel="0" collapsed="false">
      <c r="A7" s="36" t="s">
        <v>1012</v>
      </c>
      <c r="B7" s="10" t="s">
        <v>1013</v>
      </c>
      <c r="C7" s="11" t="s">
        <v>1014</v>
      </c>
    </row>
    <row r="8" customFormat="false" ht="27.75" hidden="false" customHeight="true" outlineLevel="0" collapsed="false">
      <c r="A8" s="32" t="s">
        <v>1015</v>
      </c>
      <c r="B8" s="8" t="s">
        <v>1016</v>
      </c>
      <c r="C8" s="9" t="s">
        <v>1017</v>
      </c>
    </row>
    <row r="9" customFormat="false" ht="27.75" hidden="false" customHeight="true" outlineLevel="0" collapsed="false">
      <c r="A9" s="36" t="s">
        <v>1018</v>
      </c>
      <c r="B9" s="10" t="s">
        <v>1019</v>
      </c>
      <c r="C9" s="11" t="s">
        <v>1020</v>
      </c>
    </row>
    <row r="10" customFormat="false" ht="27.75" hidden="false" customHeight="true" outlineLevel="0" collapsed="false">
      <c r="A10" s="32" t="s">
        <v>1021</v>
      </c>
      <c r="B10" s="8" t="s">
        <v>1022</v>
      </c>
      <c r="C10" s="9" t="s">
        <v>1023</v>
      </c>
    </row>
    <row r="11" customFormat="false" ht="27.75" hidden="false" customHeight="true" outlineLevel="0" collapsed="false">
      <c r="A11" s="36" t="s">
        <v>1024</v>
      </c>
      <c r="B11" s="10" t="s">
        <v>1025</v>
      </c>
      <c r="C11" s="11" t="s">
        <v>1026</v>
      </c>
    </row>
    <row r="12" customFormat="false" ht="15.75" hidden="false" customHeight="true" outlineLevel="0" collapsed="false">
      <c r="A12" s="32" t="s">
        <v>1027</v>
      </c>
      <c r="B12" s="8" t="s">
        <v>1028</v>
      </c>
      <c r="C12" s="9" t="s">
        <v>1029</v>
      </c>
    </row>
    <row r="13" customFormat="false" ht="27.75" hidden="false" customHeight="true" outlineLevel="0" collapsed="false">
      <c r="A13" s="36" t="s">
        <v>1030</v>
      </c>
      <c r="B13" s="10" t="s">
        <v>1031</v>
      </c>
      <c r="C13" s="11" t="s">
        <v>1032</v>
      </c>
    </row>
    <row r="15" customFormat="false" ht="19.5" hidden="false" customHeight="true" outlineLevel="0" collapsed="false">
      <c r="A15" s="3" t="s">
        <v>1033</v>
      </c>
      <c r="B15" s="3"/>
      <c r="C15" s="3"/>
    </row>
    <row r="16" customFormat="false" ht="21.75" hidden="false" customHeight="true" outlineLevel="0" collapsed="false">
      <c r="A16" s="50"/>
      <c r="B16" s="51" t="s">
        <v>1034</v>
      </c>
      <c r="C16" s="52"/>
    </row>
    <row r="17" customFormat="false" ht="21.75" hidden="false" customHeight="true" outlineLevel="0" collapsed="false">
      <c r="A17" s="50"/>
      <c r="B17" s="51" t="s">
        <v>1035</v>
      </c>
      <c r="C17" s="52"/>
    </row>
    <row r="18" customFormat="false" ht="21.75" hidden="false" customHeight="true" outlineLevel="0" collapsed="false">
      <c r="A18" s="50"/>
      <c r="B18" s="51" t="s">
        <v>191</v>
      </c>
      <c r="C18" s="52"/>
    </row>
    <row r="19" customFormat="false" ht="21.75" hidden="false" customHeight="true" outlineLevel="0" collapsed="false">
      <c r="A19" s="50"/>
      <c r="B19" s="51" t="s">
        <v>1036</v>
      </c>
      <c r="C19" s="52"/>
    </row>
    <row r="20" customFormat="false" ht="21.75" hidden="false" customHeight="true" outlineLevel="0" collapsed="false">
      <c r="A20" s="50"/>
      <c r="B20" s="51" t="s">
        <v>1037</v>
      </c>
      <c r="C20" s="52"/>
    </row>
    <row r="21" customFormat="false" ht="21.75" hidden="false" customHeight="true" outlineLevel="0" collapsed="false">
      <c r="A21" s="50"/>
      <c r="B21" s="51" t="s">
        <v>1038</v>
      </c>
      <c r="C21" s="52"/>
    </row>
    <row r="22" customFormat="false" ht="21.75" hidden="false" customHeight="true" outlineLevel="0" collapsed="false">
      <c r="A22" s="50"/>
      <c r="B22" s="51" t="s">
        <v>1039</v>
      </c>
      <c r="C22" s="53" t="s">
        <v>1040</v>
      </c>
    </row>
    <row r="23" customFormat="false" ht="21.75" hidden="false" customHeight="true" outlineLevel="0" collapsed="false">
      <c r="A23" s="50"/>
      <c r="B23" s="51" t="s">
        <v>1041</v>
      </c>
      <c r="C23" s="52"/>
    </row>
    <row r="24" customFormat="false" ht="21.75" hidden="false" customHeight="true" outlineLevel="0" collapsed="false">
      <c r="A24" s="50"/>
      <c r="B24" s="51" t="s">
        <v>1042</v>
      </c>
      <c r="C24" s="52"/>
    </row>
    <row r="25" customFormat="false" ht="21.75" hidden="false" customHeight="true" outlineLevel="0" collapsed="false">
      <c r="A25" s="50"/>
      <c r="B25" s="51" t="s">
        <v>1043</v>
      </c>
      <c r="C25" s="52"/>
    </row>
  </sheetData>
  <mergeCells count="3">
    <mergeCell ref="A1:C1"/>
    <mergeCell ref="A2:C2"/>
    <mergeCell ref="A15:C15"/>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LibreOffice/26.2.4.2$Linux_AARCH64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2026-08-06T04:19:45Z</dcterms:created>
  <dc:creator>openpyxl</dc:creator>
  <dc:description/>
  <dc:language>en-US</dc:language>
  <cp:lastModifiedBy/>
  <dcterms:modified xsi:type="dcterms:W3CDTF">2026-08-06T04:19:45Z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